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VIN AUGUSTINE PAUL\Downloads\"/>
    </mc:Choice>
  </mc:AlternateContent>
  <bookViews>
    <workbookView xWindow="0" yWindow="0" windowWidth="23040" windowHeight="9264" firstSheet="1" activeTab="9"/>
  </bookViews>
  <sheets>
    <sheet name="FS Verificatiom" sheetId="1" r:id="rId1"/>
    <sheet name="OTP &amp; QTR" sheetId="2" r:id="rId2"/>
    <sheet name="6 Month" sheetId="3" r:id="rId3"/>
    <sheet name="Total" sheetId="4" r:id="rId4"/>
    <sheet name="Tier 1" sheetId="5" r:id="rId5"/>
    <sheet name="Thoppumpady" sheetId="6" r:id="rId6"/>
    <sheet name="Moolamkuzhi" sheetId="7" r:id="rId7"/>
    <sheet name="Kadavanthra" sheetId="8" r:id="rId8"/>
    <sheet name="Vennala" sheetId="9" r:id="rId9"/>
    <sheet name="Edappally" sheetId="10" r:id="rId10"/>
  </sheets>
  <calcPr calcId="152511"/>
</workbook>
</file>

<file path=xl/calcChain.xml><?xml version="1.0" encoding="utf-8"?>
<calcChain xmlns="http://schemas.openxmlformats.org/spreadsheetml/2006/main">
  <c r="C52" i="10" l="1"/>
  <c r="D39" i="10"/>
  <c r="C39" i="10"/>
  <c r="G23" i="10"/>
  <c r="C23" i="10"/>
  <c r="D11" i="10"/>
  <c r="C11" i="10"/>
  <c r="G21" i="8" l="1"/>
  <c r="C21" i="8"/>
  <c r="D10" i="8"/>
  <c r="C10" i="8"/>
  <c r="G24" i="9"/>
  <c r="C24" i="9"/>
  <c r="C12" i="9" l="1"/>
  <c r="D12" i="9" s="1"/>
  <c r="I50" i="6" l="1"/>
  <c r="F50" i="6"/>
  <c r="I39" i="6"/>
  <c r="D39" i="6"/>
  <c r="I20" i="6"/>
  <c r="F20" i="6"/>
  <c r="I10" i="6"/>
  <c r="D10" i="6"/>
  <c r="I53" i="5" l="1"/>
  <c r="I52" i="5"/>
  <c r="I51" i="5"/>
  <c r="F53" i="5"/>
  <c r="I41" i="5"/>
  <c r="D41" i="5"/>
  <c r="I23" i="5"/>
  <c r="F23" i="5"/>
  <c r="I11" i="5"/>
  <c r="D11" i="5"/>
  <c r="E38" i="10" l="1"/>
  <c r="E37" i="10"/>
  <c r="E36" i="10"/>
  <c r="E35" i="10"/>
  <c r="E34" i="10"/>
  <c r="E33" i="10"/>
  <c r="E10" i="10"/>
  <c r="E9" i="10"/>
  <c r="E8" i="10"/>
  <c r="E7" i="10"/>
  <c r="E6" i="10"/>
  <c r="E5" i="10"/>
  <c r="E35" i="9"/>
  <c r="E34" i="9"/>
  <c r="E33" i="9"/>
  <c r="E32" i="9"/>
  <c r="E31" i="9"/>
  <c r="E30" i="9"/>
  <c r="E29" i="9"/>
  <c r="E28" i="9"/>
  <c r="E11" i="9"/>
  <c r="E10" i="9"/>
  <c r="E9" i="9"/>
  <c r="E8" i="9"/>
  <c r="E7" i="9"/>
  <c r="E6" i="9"/>
  <c r="E5" i="9"/>
  <c r="E4" i="9"/>
  <c r="E38" i="7"/>
  <c r="E37" i="7"/>
  <c r="E36" i="7"/>
  <c r="E35" i="7"/>
  <c r="E10" i="7"/>
  <c r="E9" i="7"/>
  <c r="E8" i="7"/>
  <c r="E7" i="7"/>
  <c r="E38" i="6"/>
  <c r="E37" i="6"/>
  <c r="E36" i="6"/>
  <c r="E35" i="6"/>
  <c r="E9" i="6"/>
  <c r="E8" i="6"/>
  <c r="E7" i="6"/>
  <c r="E6" i="6"/>
  <c r="E40" i="5"/>
  <c r="E39" i="5"/>
  <c r="E38" i="5"/>
  <c r="E37" i="5"/>
  <c r="E36" i="5"/>
  <c r="E10" i="5"/>
  <c r="E9" i="5"/>
  <c r="E8" i="5"/>
  <c r="E7" i="5"/>
  <c r="E6" i="5"/>
  <c r="E197" i="4" l="1"/>
  <c r="E196" i="4"/>
  <c r="E195" i="4"/>
  <c r="E194" i="4"/>
  <c r="E193" i="4"/>
  <c r="E192" i="4"/>
  <c r="E179" i="4"/>
  <c r="E178" i="4"/>
  <c r="E177" i="4"/>
  <c r="E176" i="4"/>
  <c r="E175" i="4"/>
  <c r="E174" i="4"/>
  <c r="E157" i="4"/>
  <c r="E156" i="4"/>
  <c r="E155" i="4"/>
  <c r="E154" i="4"/>
  <c r="E153" i="4"/>
  <c r="E152" i="4"/>
  <c r="E151" i="4"/>
  <c r="E150" i="4"/>
  <c r="E135" i="4"/>
  <c r="E134" i="4"/>
  <c r="E133" i="4"/>
  <c r="E132" i="4"/>
  <c r="E131" i="4"/>
  <c r="E130" i="4"/>
  <c r="E129" i="4"/>
  <c r="E128" i="4"/>
  <c r="E114" i="4"/>
  <c r="E113" i="4"/>
  <c r="E112" i="4"/>
  <c r="E111" i="4"/>
  <c r="E100" i="4"/>
  <c r="E99" i="4"/>
  <c r="E98" i="4"/>
  <c r="E97" i="4"/>
  <c r="E84" i="4"/>
  <c r="E83" i="4"/>
  <c r="E82" i="4"/>
  <c r="E81" i="4"/>
  <c r="E70" i="4"/>
  <c r="E69" i="4"/>
  <c r="E68" i="4"/>
  <c r="E67" i="4"/>
  <c r="E54" i="4"/>
  <c r="E53" i="4"/>
  <c r="E52" i="4"/>
  <c r="E51" i="4"/>
  <c r="E40" i="4"/>
  <c r="E39" i="4"/>
  <c r="E38" i="4"/>
  <c r="E37" i="4"/>
  <c r="E23" i="4"/>
  <c r="E22" i="4"/>
  <c r="E21" i="4"/>
  <c r="E20" i="4"/>
  <c r="E19" i="4"/>
  <c r="E7" i="4"/>
  <c r="E6" i="4"/>
  <c r="E5" i="4"/>
  <c r="E4" i="4"/>
  <c r="E3" i="4"/>
  <c r="AE122" i="1"/>
  <c r="AE121" i="1"/>
  <c r="AE120" i="1"/>
  <c r="AE119" i="1"/>
  <c r="AE118" i="1"/>
  <c r="AE117" i="1"/>
  <c r="AE112" i="1"/>
  <c r="AE111" i="1"/>
  <c r="AE110" i="1"/>
  <c r="AE109" i="1"/>
  <c r="AE108" i="1"/>
  <c r="AE107" i="1"/>
  <c r="AE102" i="1"/>
  <c r="AE101" i="1"/>
  <c r="AE100" i="1"/>
  <c r="AE99" i="1"/>
  <c r="AE98" i="1"/>
  <c r="AE97" i="1"/>
  <c r="AE96" i="1"/>
  <c r="AE95" i="1"/>
  <c r="AE90" i="1"/>
  <c r="AE89" i="1"/>
  <c r="AE88" i="1"/>
  <c r="AE87" i="1"/>
  <c r="AE86" i="1"/>
  <c r="AE85" i="1"/>
  <c r="AE84" i="1"/>
  <c r="AE83" i="1"/>
  <c r="AE76" i="1"/>
  <c r="AE75" i="1"/>
  <c r="AE74" i="1"/>
  <c r="AE73" i="1"/>
  <c r="AE67" i="1"/>
  <c r="AE66" i="1"/>
  <c r="AE65" i="1"/>
  <c r="AE64" i="1"/>
  <c r="AE56" i="1"/>
  <c r="AE55" i="1"/>
  <c r="AE54" i="1"/>
  <c r="AE53" i="1"/>
  <c r="AE46" i="1"/>
  <c r="AE45" i="1"/>
  <c r="AE44" i="1"/>
  <c r="AE43" i="1"/>
  <c r="AE33" i="1"/>
  <c r="AE32" i="1"/>
  <c r="AE31" i="1"/>
  <c r="AE30" i="1"/>
  <c r="AE24" i="1"/>
  <c r="AE23" i="1"/>
  <c r="AE22" i="1"/>
  <c r="AE21" i="1"/>
  <c r="AE15" i="1"/>
  <c r="AE14" i="1"/>
  <c r="AE13" i="1"/>
  <c r="AE12" i="1"/>
  <c r="AE11" i="1"/>
  <c r="AE6" i="1"/>
  <c r="AE5" i="1"/>
  <c r="AE4" i="1"/>
  <c r="AE3" i="1"/>
  <c r="AE2" i="1"/>
  <c r="AD122" i="1"/>
  <c r="AD121" i="1"/>
  <c r="AD120" i="1"/>
  <c r="AD119" i="1"/>
  <c r="AD118" i="1"/>
  <c r="AD117" i="1"/>
  <c r="AD112" i="1"/>
  <c r="AD111" i="1"/>
  <c r="AD110" i="1"/>
  <c r="AD109" i="1"/>
  <c r="AD108" i="1"/>
  <c r="AD107" i="1"/>
  <c r="AD102" i="1"/>
  <c r="AD101" i="1"/>
  <c r="AD100" i="1"/>
  <c r="AD99" i="1"/>
  <c r="AD98" i="1"/>
  <c r="AD97" i="1"/>
  <c r="AD96" i="1"/>
  <c r="AD95" i="1"/>
  <c r="AD90" i="1"/>
  <c r="AD89" i="1"/>
  <c r="AD88" i="1"/>
  <c r="AD87" i="1"/>
  <c r="AD86" i="1"/>
  <c r="AD85" i="1"/>
  <c r="AD84" i="1"/>
  <c r="AD83" i="1"/>
  <c r="AD76" i="1"/>
  <c r="AD75" i="1"/>
  <c r="AD74" i="1"/>
  <c r="AD73" i="1"/>
  <c r="AD67" i="1"/>
  <c r="AD66" i="1"/>
  <c r="AD65" i="1"/>
  <c r="AD64" i="1"/>
  <c r="AD56" i="1"/>
  <c r="AD55" i="1"/>
  <c r="AD54" i="1"/>
  <c r="AD53" i="1"/>
  <c r="AD46" i="1"/>
  <c r="AD45" i="1"/>
  <c r="AD44" i="1"/>
  <c r="AD43" i="1"/>
  <c r="AD33" i="1"/>
  <c r="AD32" i="1"/>
  <c r="AD31" i="1"/>
  <c r="AD30" i="1"/>
  <c r="AD24" i="1"/>
  <c r="AD23" i="1"/>
  <c r="AD22" i="1"/>
  <c r="AD21" i="1"/>
  <c r="AD15" i="1"/>
  <c r="AD14" i="1"/>
  <c r="AD13" i="1"/>
  <c r="AD12" i="1"/>
  <c r="AD11" i="1"/>
  <c r="AD6" i="1"/>
  <c r="AD5" i="1"/>
  <c r="AD4" i="1"/>
  <c r="AD3" i="1"/>
  <c r="AD2" i="1"/>
  <c r="AC122" i="1"/>
  <c r="AC121" i="1"/>
  <c r="AC120" i="1"/>
  <c r="AC119" i="1"/>
  <c r="AC118" i="1"/>
  <c r="AC117" i="1"/>
  <c r="AC112" i="1"/>
  <c r="AC111" i="1"/>
  <c r="AC110" i="1"/>
  <c r="AC109" i="1"/>
  <c r="AC108" i="1"/>
  <c r="AC107" i="1"/>
  <c r="AC102" i="1"/>
  <c r="AC101" i="1"/>
  <c r="AC100" i="1"/>
  <c r="AC99" i="1"/>
  <c r="AC98" i="1"/>
  <c r="AC97" i="1"/>
  <c r="AC96" i="1"/>
  <c r="AC95" i="1"/>
  <c r="AC90" i="1"/>
  <c r="AC89" i="1"/>
  <c r="AC88" i="1"/>
  <c r="AC87" i="1"/>
  <c r="AC86" i="1"/>
  <c r="AC85" i="1"/>
  <c r="AC84" i="1"/>
  <c r="AC83" i="1"/>
  <c r="AC76" i="1"/>
  <c r="AC75" i="1"/>
  <c r="AC74" i="1"/>
  <c r="AC73" i="1"/>
  <c r="AC67" i="1"/>
  <c r="AC66" i="1"/>
  <c r="AC65" i="1"/>
  <c r="AC64" i="1"/>
  <c r="AC56" i="1"/>
  <c r="AC55" i="1"/>
  <c r="AC54" i="1"/>
  <c r="AC53" i="1"/>
  <c r="AC46" i="1"/>
  <c r="AC45" i="1"/>
  <c r="AC44" i="1"/>
  <c r="AC43" i="1"/>
  <c r="AC33" i="1"/>
  <c r="AC32" i="1"/>
  <c r="AC31" i="1"/>
  <c r="AC30" i="1"/>
  <c r="AC24" i="1"/>
  <c r="AC23" i="1"/>
  <c r="AC22" i="1"/>
  <c r="AC21" i="1"/>
  <c r="AC15" i="1"/>
  <c r="AC14" i="1"/>
  <c r="AC13" i="1"/>
  <c r="AC12" i="1"/>
  <c r="AC11" i="1"/>
  <c r="AC6" i="1"/>
  <c r="AC5" i="1"/>
  <c r="AC4" i="1"/>
  <c r="AC3" i="1"/>
  <c r="AC2" i="1"/>
  <c r="AB122" i="1"/>
  <c r="AB121" i="1"/>
  <c r="AB120" i="1"/>
  <c r="AB119" i="1"/>
  <c r="AB118" i="1"/>
  <c r="AB117" i="1"/>
  <c r="AB112" i="1"/>
  <c r="AB111" i="1"/>
  <c r="AB110" i="1"/>
  <c r="AB109" i="1"/>
  <c r="AB108" i="1"/>
  <c r="AB107" i="1"/>
  <c r="AB102" i="1"/>
  <c r="AB101" i="1"/>
  <c r="AB100" i="1"/>
  <c r="AB99" i="1"/>
  <c r="AB98" i="1"/>
  <c r="AB97" i="1"/>
  <c r="AB96" i="1"/>
  <c r="AB95" i="1"/>
  <c r="AB90" i="1"/>
  <c r="AB89" i="1"/>
  <c r="AB88" i="1"/>
  <c r="AB87" i="1"/>
  <c r="AB86" i="1"/>
  <c r="AB85" i="1"/>
  <c r="AB84" i="1"/>
  <c r="AB83" i="1"/>
  <c r="AB76" i="1"/>
  <c r="AB75" i="1"/>
  <c r="AB74" i="1"/>
  <c r="AB73" i="1"/>
  <c r="AB67" i="1"/>
  <c r="AB66" i="1"/>
  <c r="AB65" i="1"/>
  <c r="AB64" i="1"/>
  <c r="AB56" i="1"/>
  <c r="AB55" i="1"/>
  <c r="AB54" i="1"/>
  <c r="AB53" i="1"/>
  <c r="AB46" i="1"/>
  <c r="AB45" i="1"/>
  <c r="AB44" i="1"/>
  <c r="AB43" i="1"/>
  <c r="AB33" i="1"/>
  <c r="AB32" i="1"/>
  <c r="AB31" i="1"/>
  <c r="AB30" i="1"/>
  <c r="AB24" i="1"/>
  <c r="AB23" i="1"/>
  <c r="AB22" i="1"/>
  <c r="AB21" i="1"/>
  <c r="AB15" i="1"/>
  <c r="AB14" i="1"/>
  <c r="AB13" i="1"/>
  <c r="AB12" i="1"/>
  <c r="AB11" i="1"/>
  <c r="AB6" i="1"/>
  <c r="AB5" i="1"/>
  <c r="AB4" i="1"/>
  <c r="AB3" i="1"/>
  <c r="AB2" i="1"/>
  <c r="AA122" i="1"/>
  <c r="AA121" i="1"/>
  <c r="AA120" i="1"/>
  <c r="AA119" i="1"/>
  <c r="AA118" i="1"/>
  <c r="AA117" i="1"/>
  <c r="AA112" i="1"/>
  <c r="AA111" i="1"/>
  <c r="AA110" i="1"/>
  <c r="AA109" i="1"/>
  <c r="AA108" i="1"/>
  <c r="AA107" i="1"/>
  <c r="AA102" i="1"/>
  <c r="AA101" i="1"/>
  <c r="AA100" i="1"/>
  <c r="AA99" i="1"/>
  <c r="AA98" i="1"/>
  <c r="AA97" i="1"/>
  <c r="AA96" i="1"/>
  <c r="AA95" i="1"/>
  <c r="AA90" i="1"/>
  <c r="AA89" i="1"/>
  <c r="AA88" i="1"/>
  <c r="AA87" i="1"/>
  <c r="AA86" i="1"/>
  <c r="AA85" i="1"/>
  <c r="AA84" i="1"/>
  <c r="AA83" i="1"/>
  <c r="AA76" i="1"/>
  <c r="AA75" i="1"/>
  <c r="AA74" i="1"/>
  <c r="AA73" i="1"/>
  <c r="AA67" i="1"/>
  <c r="AA66" i="1"/>
  <c r="AA65" i="1"/>
  <c r="AA64" i="1"/>
  <c r="AA56" i="1"/>
  <c r="AA55" i="1"/>
  <c r="AA54" i="1"/>
  <c r="AA53" i="1"/>
  <c r="AA46" i="1"/>
  <c r="AA45" i="1"/>
  <c r="AA44" i="1"/>
  <c r="AA43" i="1"/>
  <c r="AA33" i="1"/>
  <c r="AA32" i="1"/>
  <c r="AA31" i="1"/>
  <c r="AA30" i="1"/>
  <c r="AA24" i="1"/>
  <c r="AA23" i="1"/>
  <c r="AA22" i="1"/>
  <c r="AA21" i="1"/>
  <c r="AA15" i="1"/>
  <c r="AA14" i="1"/>
  <c r="AA13" i="1"/>
  <c r="AA12" i="1"/>
  <c r="AA11" i="1"/>
  <c r="AA6" i="1"/>
  <c r="AA5" i="1"/>
  <c r="AA4" i="1"/>
  <c r="AA3" i="1"/>
  <c r="AA2" i="1"/>
  <c r="E123" i="2"/>
  <c r="E122" i="2"/>
  <c r="E121" i="2"/>
  <c r="E120" i="2"/>
  <c r="E119" i="2"/>
  <c r="E118" i="2"/>
  <c r="E113" i="2"/>
  <c r="E112" i="2"/>
  <c r="E111" i="2"/>
  <c r="E110" i="2"/>
  <c r="E109" i="2"/>
  <c r="E108" i="2"/>
  <c r="E103" i="2"/>
  <c r="E102" i="2"/>
  <c r="E101" i="2"/>
  <c r="E100" i="2"/>
  <c r="E99" i="2"/>
  <c r="E98" i="2"/>
  <c r="E97" i="2"/>
  <c r="E96" i="2"/>
  <c r="E91" i="2"/>
  <c r="E90" i="2"/>
  <c r="E89" i="2"/>
  <c r="E88" i="2"/>
  <c r="E87" i="2"/>
  <c r="E86" i="2"/>
  <c r="E85" i="2"/>
  <c r="E84" i="2"/>
  <c r="E77" i="2"/>
  <c r="E76" i="2"/>
  <c r="E75" i="2"/>
  <c r="E74" i="2"/>
  <c r="E68" i="2"/>
  <c r="E67" i="2"/>
  <c r="E66" i="2"/>
  <c r="E65" i="2"/>
  <c r="E57" i="2"/>
  <c r="E56" i="2"/>
  <c r="E55" i="2"/>
  <c r="E54" i="2"/>
  <c r="E47" i="2"/>
  <c r="E46" i="2"/>
  <c r="E45" i="2"/>
  <c r="E44" i="2"/>
  <c r="E34" i="2"/>
  <c r="E33" i="2"/>
  <c r="E32" i="2"/>
  <c r="E31" i="2"/>
  <c r="E25" i="2"/>
  <c r="E24" i="2"/>
  <c r="E23" i="2"/>
  <c r="E22" i="2"/>
  <c r="E16" i="2"/>
  <c r="E15" i="2"/>
  <c r="E14" i="2"/>
  <c r="E13" i="2"/>
  <c r="E12" i="2"/>
  <c r="E7" i="2"/>
  <c r="E6" i="2"/>
  <c r="E5" i="2"/>
  <c r="E4" i="2"/>
  <c r="E3" i="2"/>
  <c r="E122" i="1" l="1"/>
  <c r="J122" i="1" s="1"/>
  <c r="E121" i="1"/>
  <c r="E120" i="1"/>
  <c r="E119" i="1"/>
  <c r="E118" i="1"/>
  <c r="J118" i="1" s="1"/>
  <c r="E117" i="1"/>
  <c r="J117" i="1" s="1"/>
  <c r="E112" i="1"/>
  <c r="E111" i="1"/>
  <c r="J111" i="1" s="1"/>
  <c r="E110" i="1"/>
  <c r="J110" i="1" s="1"/>
  <c r="E109" i="1"/>
  <c r="E108" i="1"/>
  <c r="J108" i="1" s="1"/>
  <c r="E107" i="1"/>
  <c r="E102" i="1"/>
  <c r="E101" i="1"/>
  <c r="E100" i="1"/>
  <c r="E99" i="1"/>
  <c r="E98" i="1"/>
  <c r="J98" i="1" s="1"/>
  <c r="E97" i="1"/>
  <c r="J97" i="1" s="1"/>
  <c r="E96" i="1"/>
  <c r="J96" i="1" s="1"/>
  <c r="E95" i="1"/>
  <c r="J95" i="1" s="1"/>
  <c r="E90" i="1"/>
  <c r="E89" i="1"/>
  <c r="J89" i="1" s="1"/>
  <c r="E88" i="1"/>
  <c r="J88" i="1" s="1"/>
  <c r="E87" i="1"/>
  <c r="J87" i="1" s="1"/>
  <c r="E86" i="1"/>
  <c r="J86" i="1" s="1"/>
  <c r="E85" i="1"/>
  <c r="J85" i="1" s="1"/>
  <c r="E84" i="1"/>
  <c r="J84" i="1" s="1"/>
  <c r="E83" i="1"/>
  <c r="J83" i="1" s="1"/>
  <c r="E76" i="1"/>
  <c r="E75" i="1"/>
  <c r="E74" i="1"/>
  <c r="E73" i="1"/>
  <c r="J73" i="1" s="1"/>
  <c r="E67" i="1"/>
  <c r="J67" i="1" s="1"/>
  <c r="E66" i="1"/>
  <c r="E65" i="1"/>
  <c r="E64" i="1"/>
  <c r="J64" i="1" s="1"/>
  <c r="E56" i="1"/>
  <c r="E55" i="1"/>
  <c r="E54" i="1"/>
  <c r="J54" i="1" s="1"/>
  <c r="E53" i="1"/>
  <c r="J53" i="1" s="1"/>
  <c r="E46" i="1"/>
  <c r="J46" i="1" s="1"/>
  <c r="E45" i="1"/>
  <c r="E44" i="1"/>
  <c r="E43" i="1"/>
  <c r="J43" i="1" s="1"/>
  <c r="E33" i="1"/>
  <c r="E32" i="1"/>
  <c r="J32" i="1" s="1"/>
  <c r="E31" i="1"/>
  <c r="J31" i="1" s="1"/>
  <c r="E30" i="1"/>
  <c r="J30" i="1" s="1"/>
  <c r="E24" i="1"/>
  <c r="J24" i="1" s="1"/>
  <c r="E23" i="1"/>
  <c r="E22" i="1"/>
  <c r="J22" i="1" s="1"/>
  <c r="E21" i="1"/>
  <c r="J21" i="1" s="1"/>
  <c r="J121" i="1"/>
  <c r="J120" i="1"/>
  <c r="J119" i="1"/>
  <c r="J112" i="1"/>
  <c r="J109" i="1"/>
  <c r="J107" i="1"/>
  <c r="J102" i="1"/>
  <c r="J101" i="1"/>
  <c r="J100" i="1"/>
  <c r="J99" i="1"/>
  <c r="J90" i="1"/>
  <c r="J76" i="1"/>
  <c r="J75" i="1"/>
  <c r="J74" i="1"/>
  <c r="J66" i="1"/>
  <c r="J65" i="1"/>
  <c r="J56" i="1"/>
  <c r="J55" i="1"/>
  <c r="J45" i="1"/>
  <c r="J44" i="1"/>
  <c r="J33" i="1"/>
  <c r="J23" i="1"/>
  <c r="J4" i="1"/>
  <c r="J5" i="1"/>
  <c r="J6" i="1"/>
  <c r="J13" i="1"/>
  <c r="E15" i="1"/>
  <c r="J15" i="1" s="1"/>
  <c r="E14" i="1"/>
  <c r="J14" i="1" s="1"/>
  <c r="E13" i="1"/>
  <c r="E12" i="1"/>
  <c r="J12" i="1" s="1"/>
  <c r="E11" i="1"/>
  <c r="J11" i="1" s="1"/>
  <c r="E3" i="1"/>
  <c r="J3" i="1" s="1"/>
  <c r="E4" i="1"/>
  <c r="E5" i="1"/>
  <c r="E6" i="1"/>
  <c r="E2" i="1"/>
  <c r="J2" i="1" s="1"/>
</calcChain>
</file>

<file path=xl/sharedStrings.xml><?xml version="1.0" encoding="utf-8"?>
<sst xmlns="http://schemas.openxmlformats.org/spreadsheetml/2006/main" count="1654" uniqueCount="63">
  <si>
    <t>Class</t>
  </si>
  <si>
    <t>Annual Fees</t>
  </si>
  <si>
    <t>Early Bird</t>
  </si>
  <si>
    <t>OTP</t>
  </si>
  <si>
    <t>Quarter 1</t>
  </si>
  <si>
    <t>Quarter 2</t>
  </si>
  <si>
    <t>Quarter 3</t>
  </si>
  <si>
    <t>Quarter 4</t>
  </si>
  <si>
    <t>Early Bird
(₹)</t>
  </si>
  <si>
    <t>6-Inst Plan
Discounted Amt
(EB×97.5%)</t>
  </si>
  <si>
    <t>8-Inst Plan
Full EB Amt
(₹)</t>
  </si>
  <si>
    <t>8 State</t>
  </si>
  <si>
    <t>9 State</t>
  </si>
  <si>
    <t>10 State</t>
  </si>
  <si>
    <t>Plus One</t>
  </si>
  <si>
    <t>Plus Two</t>
  </si>
  <si>
    <t>Advanced Fees Structure - Tier 1 Branch</t>
  </si>
  <si>
    <t>Basic Fees Structure - Thoppumpady Branch</t>
  </si>
  <si>
    <t>Advanced Fees Structure - Thoppumpady Branch</t>
  </si>
  <si>
    <t>Basic Fees Structure - Moolamkuzhi Branch</t>
  </si>
  <si>
    <t>9 Cbse</t>
  </si>
  <si>
    <t>10 Cbse</t>
  </si>
  <si>
    <t>Advanced Fees Structure - Moolamkuzhi Branch</t>
  </si>
  <si>
    <t>Basic Fees Structure - Kadavanthra Branch</t>
  </si>
  <si>
    <t>Advanced Fees Structure - Kadavanthra Branch</t>
  </si>
  <si>
    <t>Basic Fees Structure - Vennala Branch</t>
  </si>
  <si>
    <t>8 Cbse</t>
  </si>
  <si>
    <t xml:space="preserve">Plus One </t>
  </si>
  <si>
    <t>Advanced Fees Structure - Vennala Branch</t>
  </si>
  <si>
    <t>Basic Fees Structure - Edappally Branch</t>
  </si>
  <si>
    <t>Advanced Fees Structure - Edappally  Branch</t>
  </si>
  <si>
    <t>INSTALLMENT AMOUNT ( 1-5)
Inst 1
(₹)</t>
  </si>
  <si>
    <t>LAST INSTALLMENT</t>
  </si>
  <si>
    <t>INSTALLMENT AMOUNT ( 1-7)
Inst 1
(₹)</t>
  </si>
  <si>
    <t>LAST INSTALLMENT
Inst 1
(₹)</t>
  </si>
  <si>
    <t>Quarter Payment</t>
  </si>
  <si>
    <t>Basic Fees Structure - Tier 1 Branch</t>
  </si>
  <si>
    <t>Inst Amount           (1st - 5th)</t>
  </si>
  <si>
    <t xml:space="preserve">Inst Amount      6th (Final) </t>
  </si>
  <si>
    <t>Inst Amount           (1st - 7th)</t>
  </si>
  <si>
    <t xml:space="preserve">Inst Amount      8th (Final) </t>
  </si>
  <si>
    <t xml:space="preserve">8 Inst Plan            Full Amnt             </t>
  </si>
  <si>
    <t>6 Inst Plan            Full Amnt              (After Disc 2.5%)</t>
  </si>
  <si>
    <t>One Time Payment</t>
  </si>
  <si>
    <t>Quarterly       (5% Disc)</t>
  </si>
  <si>
    <t>Physics</t>
  </si>
  <si>
    <t>Maths</t>
  </si>
  <si>
    <t>Chemitry</t>
  </si>
  <si>
    <t>Phy - Chem</t>
  </si>
  <si>
    <t>HSS Subject</t>
  </si>
  <si>
    <t>Subject wise Basic Fees Structure - Vennala Branch</t>
  </si>
  <si>
    <t>Subject wise Advanced Fees Structure - Vennala Branch</t>
  </si>
  <si>
    <t>Phy-Chem</t>
  </si>
  <si>
    <t>Chem- maths</t>
  </si>
  <si>
    <t>Phy-Maths</t>
  </si>
  <si>
    <t>Chem-Maths</t>
  </si>
  <si>
    <t>Chem- Maths</t>
  </si>
  <si>
    <t>Subject wise Advanced Fees Structure - Edappally  Branch</t>
  </si>
  <si>
    <t>Subject wise Advanced Fees Structure - Edappally Branch</t>
  </si>
  <si>
    <t>Subject wise Basic Fees Structure - Edappally Branch</t>
  </si>
  <si>
    <t>Subject wise Basic Fees Structure - Kadavanthra Branch</t>
  </si>
  <si>
    <t>Subject wise Advanced Fees Structure - Kadavanthra Branch</t>
  </si>
  <si>
    <t>10 Cbse 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</si>
</sst>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i/>
      <sz val="11"/>
      <color theme="0" tint="-4.9989318521683403E-2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Book Antiqua"/>
      <family val="1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1"/>
      <name val="Book Antiqua"/>
      <family val="1"/>
    </font>
    <font>
      <sz val="11"/>
      <color theme="1"/>
      <name val="Calibri"/>
      <family val="2"/>
      <scheme val="minor"/>
    </font>
    <font>
      <b/>
      <sz val="10"/>
      <color rgb="FF000000"/>
      <name val="Book Antiqua"/>
      <family val="1"/>
    </font>
    <font>
      <sz val="10"/>
      <color rgb="FF000000"/>
      <name val="Book Antiqua"/>
      <family val="1"/>
    </font>
    <font>
      <b/>
      <sz val="10"/>
      <color rgb="FFFFFFFF"/>
      <name val="Book Antiqua"/>
      <family val="1"/>
    </font>
    <font>
      <sz val="10"/>
      <color theme="1"/>
      <name val="Book Antiqua"/>
      <family val="1"/>
    </font>
    <font>
      <b/>
      <sz val="10"/>
      <color theme="0" tint="-4.9989318521683403E-2"/>
      <name val="Book Antiqua"/>
      <family val="1"/>
    </font>
    <font>
      <sz val="10"/>
      <color theme="1" tint="0.14999847407452621"/>
      <name val="Book Antiqua"/>
      <family val="1"/>
    </font>
    <font>
      <b/>
      <i/>
      <sz val="10"/>
      <color theme="0" tint="-4.9989318521683403E-2"/>
      <name val="Book Antiqua"/>
      <family val="1"/>
    </font>
    <font>
      <sz val="11"/>
      <color rgb="FF000000"/>
      <name val="Book Antiqua"/>
      <family val="1"/>
    </font>
    <font>
      <sz val="11"/>
      <color theme="1" tint="0.14999847407452621"/>
      <name val="Book Antiqua"/>
      <family val="1"/>
    </font>
  </fonts>
  <fills count="2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1A6B1A"/>
      </patternFill>
    </fill>
    <fill>
      <patternFill patternType="solid">
        <fgColor rgb="FFA04000"/>
      </patternFill>
    </fill>
    <fill>
      <patternFill patternType="solid">
        <fgColor rgb="FFF0F7FF"/>
      </patternFill>
    </fill>
    <fill>
      <patternFill patternType="solid">
        <fgColor rgb="FFE8F5E9"/>
      </patternFill>
    </fill>
    <fill>
      <patternFill patternType="solid">
        <fgColor rgb="FFFFF3E8"/>
      </patternFill>
    </fill>
    <fill>
      <patternFill patternType="solid">
        <fgColor rgb="FFFFFFFF"/>
      </patternFill>
    </fill>
    <fill>
      <patternFill patternType="solid">
        <fgColor rgb="FFF4FBF4"/>
      </patternFill>
    </fill>
    <fill>
      <patternFill patternType="solid">
        <fgColor rgb="FFFFFAF5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F8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93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0" xfId="0" applyFont="1"/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3" fontId="4" fillId="12" borderId="2" xfId="0" applyNumberFormat="1" applyFont="1" applyFill="1" applyBorder="1" applyAlignment="1">
      <alignment horizontal="right" vertical="center" wrapText="1"/>
    </xf>
    <xf numFmtId="3" fontId="4" fillId="13" borderId="2" xfId="0" applyNumberFormat="1" applyFont="1" applyFill="1" applyBorder="1" applyAlignment="1">
      <alignment horizontal="right" vertical="center" wrapText="1"/>
    </xf>
    <xf numFmtId="3" fontId="4" fillId="14" borderId="2" xfId="0" applyNumberFormat="1" applyFont="1" applyFill="1" applyBorder="1" applyAlignment="1">
      <alignment horizontal="right" vertical="center" wrapText="1"/>
    </xf>
    <xf numFmtId="0" fontId="7" fillId="15" borderId="2" xfId="0" applyFont="1" applyFill="1" applyBorder="1" applyAlignment="1">
      <alignment horizontal="left" vertical="center" wrapText="1"/>
    </xf>
    <xf numFmtId="3" fontId="4" fillId="15" borderId="2" xfId="0" applyNumberFormat="1" applyFont="1" applyFill="1" applyBorder="1" applyAlignment="1">
      <alignment horizontal="right" vertical="center" wrapText="1"/>
    </xf>
    <xf numFmtId="3" fontId="4" fillId="16" borderId="2" xfId="0" applyNumberFormat="1" applyFont="1" applyFill="1" applyBorder="1" applyAlignment="1">
      <alignment horizontal="right" vertical="center" wrapText="1"/>
    </xf>
    <xf numFmtId="3" fontId="4" fillId="17" borderId="2" xfId="0" applyNumberFormat="1" applyFont="1" applyFill="1" applyBorder="1" applyAlignment="1">
      <alignment horizontal="right" vertical="center" wrapText="1"/>
    </xf>
    <xf numFmtId="0" fontId="0" fillId="0" borderId="2" xfId="0" applyBorder="1"/>
    <xf numFmtId="0" fontId="0" fillId="0" borderId="0" xfId="0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9" fontId="0" fillId="0" borderId="0" xfId="1" applyFont="1"/>
    <xf numFmtId="0" fontId="12" fillId="10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3" fontId="11" fillId="4" borderId="2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3" fontId="11" fillId="7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3" fontId="11" fillId="19" borderId="2" xfId="0" applyNumberFormat="1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center" vertical="center" wrapText="1"/>
    </xf>
    <xf numFmtId="3" fontId="15" fillId="19" borderId="2" xfId="0" applyNumberFormat="1" applyFont="1" applyFill="1" applyBorder="1" applyAlignment="1">
      <alignment horizontal="center" vertical="center" wrapText="1"/>
    </xf>
    <xf numFmtId="3" fontId="11" fillId="20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0" borderId="0" xfId="0" applyFont="1"/>
    <xf numFmtId="0" fontId="10" fillId="3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/>
    </xf>
    <xf numFmtId="0" fontId="13" fillId="20" borderId="2" xfId="0" applyFont="1" applyFill="1" applyBorder="1" applyAlignment="1">
      <alignment horizontal="center" vertical="center"/>
    </xf>
    <xf numFmtId="0" fontId="13" fillId="21" borderId="0" xfId="0" applyFont="1" applyFill="1" applyBorder="1" applyAlignment="1">
      <alignment horizontal="center" vertical="center"/>
    </xf>
    <xf numFmtId="0" fontId="0" fillId="21" borderId="0" xfId="0" applyFill="1"/>
    <xf numFmtId="0" fontId="0" fillId="20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3" fontId="17" fillId="20" borderId="2" xfId="0" applyNumberFormat="1" applyFont="1" applyFill="1" applyBorder="1" applyAlignment="1">
      <alignment horizontal="center" vertical="center" wrapText="1"/>
    </xf>
    <xf numFmtId="3" fontId="17" fillId="7" borderId="2" xfId="0" applyNumberFormat="1" applyFont="1" applyFill="1" applyBorder="1" applyAlignment="1">
      <alignment horizontal="center" vertical="center" wrapText="1"/>
    </xf>
    <xf numFmtId="3" fontId="17" fillId="4" borderId="2" xfId="0" applyNumberFormat="1" applyFont="1" applyFill="1" applyBorder="1" applyAlignment="1">
      <alignment horizontal="center" vertical="center" wrapText="1"/>
    </xf>
    <xf numFmtId="3" fontId="18" fillId="19" borderId="2" xfId="0" applyNumberFormat="1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/>
    </xf>
    <xf numFmtId="0" fontId="0" fillId="21" borderId="0" xfId="0" applyFill="1" applyBorder="1"/>
    <xf numFmtId="0" fontId="13" fillId="22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 wrapText="1"/>
    </xf>
    <xf numFmtId="0" fontId="0" fillId="22" borderId="2" xfId="0" applyFill="1" applyBorder="1" applyAlignment="1">
      <alignment horizontal="center" vertical="center"/>
    </xf>
    <xf numFmtId="3" fontId="11" fillId="22" borderId="2" xfId="0" applyNumberFormat="1" applyFont="1" applyFill="1" applyBorder="1" applyAlignment="1">
      <alignment horizontal="center" vertical="center" wrapText="1"/>
    </xf>
    <xf numFmtId="0" fontId="13" fillId="23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 vertical="center"/>
    </xf>
    <xf numFmtId="3" fontId="11" fillId="23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9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6" fillId="5" borderId="5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DF8E9"/>
      <color rgb="FFEAF7DF"/>
      <color rgb="FFFFFFFF"/>
      <color rgb="FF5EC314"/>
      <color rgb="FF17AD9E"/>
      <color rgb="FF18A26F"/>
      <color rgb="FFA72017"/>
      <color rgb="FFF6DCDB"/>
      <color rgb="FF941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2"/>
  <sheetViews>
    <sheetView topLeftCell="C1" zoomScale="83" workbookViewId="0">
      <selection activeCell="L6" sqref="L6"/>
    </sheetView>
  </sheetViews>
  <sheetFormatPr defaultColWidth="8.77734375" defaultRowHeight="14.4" x14ac:dyDescent="0.3"/>
  <cols>
    <col min="15" max="15" width="13.44140625" customWidth="1"/>
    <col min="17" max="17" width="11.44140625" customWidth="1"/>
    <col min="19" max="20" width="8.77734375" customWidth="1"/>
    <col min="21" max="21" width="0.44140625" hidden="1" customWidth="1"/>
    <col min="22" max="26" width="8.77734375" hidden="1" customWidth="1"/>
  </cols>
  <sheetData>
    <row r="1" spans="1:31" s="21" customFormat="1" ht="10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M1" s="9" t="s">
        <v>0</v>
      </c>
      <c r="N1" s="9" t="s">
        <v>8</v>
      </c>
      <c r="O1" s="10" t="s">
        <v>9</v>
      </c>
      <c r="P1" s="10" t="s">
        <v>31</v>
      </c>
      <c r="Q1" s="10" t="s">
        <v>32</v>
      </c>
      <c r="R1" s="11" t="s">
        <v>10</v>
      </c>
      <c r="S1" s="11" t="s">
        <v>33</v>
      </c>
      <c r="T1" s="11" t="s">
        <v>34</v>
      </c>
      <c r="U1" s="23"/>
      <c r="V1" s="23"/>
      <c r="W1" s="23"/>
      <c r="X1" s="23"/>
      <c r="Y1" s="23"/>
      <c r="Z1" s="23"/>
    </row>
    <row r="2" spans="1:31" x14ac:dyDescent="0.3">
      <c r="A2" s="2" t="s">
        <v>11</v>
      </c>
      <c r="B2" s="2">
        <v>17000</v>
      </c>
      <c r="C2" s="2">
        <v>15400</v>
      </c>
      <c r="D2" s="22">
        <v>14100</v>
      </c>
      <c r="E2" s="22">
        <f>SUM(F2:I2)</f>
        <v>14600</v>
      </c>
      <c r="F2" s="2">
        <v>5100</v>
      </c>
      <c r="G2" s="2">
        <v>3600</v>
      </c>
      <c r="H2" s="2">
        <v>3600</v>
      </c>
      <c r="I2" s="2">
        <v>2300</v>
      </c>
      <c r="J2" s="24">
        <f>E2/C2</f>
        <v>0.94805194805194803</v>
      </c>
      <c r="M2" s="12" t="s">
        <v>11</v>
      </c>
      <c r="N2" s="13">
        <v>15400</v>
      </c>
      <c r="O2" s="14">
        <v>15000</v>
      </c>
      <c r="P2" s="14">
        <v>2600</v>
      </c>
      <c r="Q2" s="14">
        <v>2000</v>
      </c>
      <c r="R2" s="15">
        <v>15400</v>
      </c>
      <c r="S2" s="15">
        <v>2000</v>
      </c>
      <c r="T2" s="15">
        <v>1400</v>
      </c>
      <c r="U2" s="20"/>
      <c r="V2" s="20"/>
      <c r="W2" s="20"/>
      <c r="X2" s="20"/>
      <c r="Y2" s="20"/>
      <c r="Z2" s="20"/>
      <c r="AA2" t="b">
        <f>C2=N2</f>
        <v>1</v>
      </c>
      <c r="AB2" s="24">
        <f>O2/N2</f>
        <v>0.97402597402597402</v>
      </c>
      <c r="AC2" t="b">
        <f>P2*5+Q2=O2</f>
        <v>1</v>
      </c>
      <c r="AD2" t="b">
        <f>R2=N2</f>
        <v>1</v>
      </c>
      <c r="AE2" t="b">
        <f>S2*7+T2=R2</f>
        <v>1</v>
      </c>
    </row>
    <row r="3" spans="1:31" x14ac:dyDescent="0.3">
      <c r="A3" s="2" t="s">
        <v>12</v>
      </c>
      <c r="B3" s="2">
        <v>19750</v>
      </c>
      <c r="C3" s="2">
        <v>17800</v>
      </c>
      <c r="D3" s="22">
        <v>16300</v>
      </c>
      <c r="E3" s="22">
        <f t="shared" ref="E3:E6" si="0">SUM(F3:I3)</f>
        <v>16900</v>
      </c>
      <c r="F3" s="2">
        <v>5900</v>
      </c>
      <c r="G3" s="2">
        <v>4200</v>
      </c>
      <c r="H3" s="2">
        <v>4200</v>
      </c>
      <c r="I3" s="2">
        <v>2600</v>
      </c>
      <c r="J3" s="24">
        <f t="shared" ref="J3:J6" si="1">E3/C3</f>
        <v>0.949438202247191</v>
      </c>
      <c r="M3" s="16" t="s">
        <v>12</v>
      </c>
      <c r="N3" s="17">
        <v>17800</v>
      </c>
      <c r="O3" s="18">
        <v>17300</v>
      </c>
      <c r="P3" s="18">
        <v>3000</v>
      </c>
      <c r="Q3" s="18">
        <v>2300</v>
      </c>
      <c r="R3" s="19">
        <v>17800</v>
      </c>
      <c r="S3" s="19">
        <v>2400</v>
      </c>
      <c r="T3" s="19">
        <v>1000</v>
      </c>
      <c r="U3" s="20"/>
      <c r="V3" s="20"/>
      <c r="W3" s="20"/>
      <c r="X3" s="20"/>
      <c r="Y3" s="20"/>
      <c r="Z3" s="20"/>
      <c r="AA3" t="b">
        <f t="shared" ref="AA3:AA6" si="2">C3=N3</f>
        <v>1</v>
      </c>
      <c r="AB3" s="24">
        <f t="shared" ref="AB3:AB6" si="3">O3/N3</f>
        <v>0.9719101123595506</v>
      </c>
      <c r="AC3" t="b">
        <f t="shared" ref="AC3:AC6" si="4">P3*5+Q3=O3</f>
        <v>1</v>
      </c>
      <c r="AD3" t="b">
        <f t="shared" ref="AD3:AD6" si="5">R3=N3</f>
        <v>1</v>
      </c>
      <c r="AE3" t="b">
        <f t="shared" ref="AE3:AE6" si="6">S3*7+T3=R3</f>
        <v>1</v>
      </c>
    </row>
    <row r="4" spans="1:31" x14ac:dyDescent="0.3">
      <c r="A4" s="2" t="s">
        <v>13</v>
      </c>
      <c r="B4" s="2">
        <v>19750</v>
      </c>
      <c r="C4" s="2">
        <v>17800</v>
      </c>
      <c r="D4" s="22">
        <v>16300</v>
      </c>
      <c r="E4" s="22">
        <f t="shared" si="0"/>
        <v>16900</v>
      </c>
      <c r="F4" s="2">
        <v>5900</v>
      </c>
      <c r="G4" s="2">
        <v>4200</v>
      </c>
      <c r="H4" s="2">
        <v>4200</v>
      </c>
      <c r="I4" s="2">
        <v>2600</v>
      </c>
      <c r="J4" s="24">
        <f t="shared" si="1"/>
        <v>0.949438202247191</v>
      </c>
      <c r="M4" s="12" t="s">
        <v>13</v>
      </c>
      <c r="N4" s="13">
        <v>17800</v>
      </c>
      <c r="O4" s="14">
        <v>17300</v>
      </c>
      <c r="P4" s="18">
        <v>3000</v>
      </c>
      <c r="Q4" s="18">
        <v>2300</v>
      </c>
      <c r="R4" s="15">
        <v>17800</v>
      </c>
      <c r="S4" s="19">
        <v>2400</v>
      </c>
      <c r="T4" s="19">
        <v>1000</v>
      </c>
      <c r="U4" s="20"/>
      <c r="V4" s="20"/>
      <c r="W4" s="20"/>
      <c r="X4" s="20"/>
      <c r="Y4" s="20"/>
      <c r="Z4" s="20"/>
      <c r="AA4" t="b">
        <f t="shared" si="2"/>
        <v>1</v>
      </c>
      <c r="AB4" s="24">
        <f t="shared" si="3"/>
        <v>0.9719101123595506</v>
      </c>
      <c r="AC4" t="b">
        <f t="shared" si="4"/>
        <v>1</v>
      </c>
      <c r="AD4" t="b">
        <f t="shared" si="5"/>
        <v>1</v>
      </c>
      <c r="AE4" t="b">
        <f t="shared" si="6"/>
        <v>1</v>
      </c>
    </row>
    <row r="5" spans="1:31" ht="28.8" customHeight="1" x14ac:dyDescent="0.3">
      <c r="A5" s="2" t="s">
        <v>14</v>
      </c>
      <c r="B5" s="2">
        <v>21000</v>
      </c>
      <c r="C5" s="2">
        <v>19000</v>
      </c>
      <c r="D5" s="22">
        <v>17400</v>
      </c>
      <c r="E5" s="22">
        <f t="shared" si="0"/>
        <v>18000</v>
      </c>
      <c r="F5" s="2">
        <v>6300</v>
      </c>
      <c r="G5" s="2">
        <v>4500</v>
      </c>
      <c r="H5" s="2">
        <v>4500</v>
      </c>
      <c r="I5" s="2">
        <v>2700</v>
      </c>
      <c r="J5" s="24">
        <f t="shared" si="1"/>
        <v>0.94736842105263153</v>
      </c>
      <c r="M5" s="16" t="s">
        <v>14</v>
      </c>
      <c r="N5" s="17">
        <v>19000</v>
      </c>
      <c r="O5" s="18">
        <v>18500</v>
      </c>
      <c r="P5" s="18">
        <v>3200</v>
      </c>
      <c r="Q5" s="18">
        <v>2500</v>
      </c>
      <c r="R5" s="19">
        <v>19000</v>
      </c>
      <c r="S5" s="19">
        <v>2500</v>
      </c>
      <c r="T5" s="19">
        <v>1500</v>
      </c>
      <c r="U5" s="20"/>
      <c r="V5" s="20"/>
      <c r="W5" s="20"/>
      <c r="X5" s="20"/>
      <c r="Y5" s="20"/>
      <c r="Z5" s="20"/>
      <c r="AA5" t="b">
        <f t="shared" si="2"/>
        <v>1</v>
      </c>
      <c r="AB5" s="24">
        <f t="shared" si="3"/>
        <v>0.97368421052631582</v>
      </c>
      <c r="AC5" t="b">
        <f t="shared" si="4"/>
        <v>1</v>
      </c>
      <c r="AD5" t="b">
        <f t="shared" si="5"/>
        <v>1</v>
      </c>
      <c r="AE5" t="b">
        <f t="shared" si="6"/>
        <v>1</v>
      </c>
    </row>
    <row r="6" spans="1:31" ht="28.8" customHeight="1" x14ac:dyDescent="0.3">
      <c r="A6" s="2" t="s">
        <v>15</v>
      </c>
      <c r="B6" s="2">
        <v>21000</v>
      </c>
      <c r="C6" s="2">
        <v>19000</v>
      </c>
      <c r="D6" s="22">
        <v>17400</v>
      </c>
      <c r="E6" s="22">
        <f t="shared" si="0"/>
        <v>18000</v>
      </c>
      <c r="F6" s="2">
        <v>6300</v>
      </c>
      <c r="G6" s="2">
        <v>4500</v>
      </c>
      <c r="H6" s="2">
        <v>4500</v>
      </c>
      <c r="I6" s="2">
        <v>2700</v>
      </c>
      <c r="J6" s="24">
        <f t="shared" si="1"/>
        <v>0.94736842105263153</v>
      </c>
      <c r="M6" s="12" t="s">
        <v>15</v>
      </c>
      <c r="N6" s="13">
        <v>19000</v>
      </c>
      <c r="O6" s="14">
        <v>18500</v>
      </c>
      <c r="P6" s="18">
        <v>3200</v>
      </c>
      <c r="Q6" s="18">
        <v>2500</v>
      </c>
      <c r="R6" s="15">
        <v>19000</v>
      </c>
      <c r="S6" s="19">
        <v>2500</v>
      </c>
      <c r="T6" s="19">
        <v>1500</v>
      </c>
      <c r="U6" s="20"/>
      <c r="V6" s="20"/>
      <c r="W6" s="20"/>
      <c r="X6" s="20"/>
      <c r="Y6" s="20"/>
      <c r="Z6" s="20"/>
      <c r="AA6" t="b">
        <f t="shared" si="2"/>
        <v>1</v>
      </c>
      <c r="AB6" s="24">
        <f t="shared" si="3"/>
        <v>0.97368421052631582</v>
      </c>
      <c r="AC6" t="b">
        <f t="shared" si="4"/>
        <v>1</v>
      </c>
      <c r="AD6" t="b">
        <f t="shared" si="5"/>
        <v>1</v>
      </c>
      <c r="AE6" t="b">
        <f t="shared" si="6"/>
        <v>1</v>
      </c>
    </row>
    <row r="9" spans="1:31" ht="14.55" customHeight="1" x14ac:dyDescent="0.3">
      <c r="A9" s="70" t="s">
        <v>16</v>
      </c>
      <c r="B9" s="71"/>
      <c r="C9" s="71"/>
      <c r="D9" s="71"/>
      <c r="E9" s="71"/>
      <c r="F9" s="71"/>
      <c r="G9" s="71"/>
      <c r="H9" s="71"/>
      <c r="I9" s="72"/>
      <c r="M9" s="75" t="s">
        <v>16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2"/>
    </row>
    <row r="10" spans="1:31" ht="80.55" customHeight="1" x14ac:dyDescent="0.3">
      <c r="A10" s="3" t="s">
        <v>0</v>
      </c>
      <c r="B10" s="3" t="s">
        <v>1</v>
      </c>
      <c r="C10" s="3" t="s">
        <v>2</v>
      </c>
      <c r="D10" s="3" t="s">
        <v>3</v>
      </c>
      <c r="E10" s="3" t="s">
        <v>35</v>
      </c>
      <c r="F10" s="3" t="s">
        <v>4</v>
      </c>
      <c r="G10" s="3" t="s">
        <v>5</v>
      </c>
      <c r="H10" s="3" t="s">
        <v>6</v>
      </c>
      <c r="I10" s="3" t="s">
        <v>7</v>
      </c>
      <c r="M10" s="9" t="s">
        <v>0</v>
      </c>
      <c r="N10" s="9" t="s">
        <v>8</v>
      </c>
      <c r="O10" s="10" t="s">
        <v>9</v>
      </c>
      <c r="P10" s="10" t="s">
        <v>31</v>
      </c>
      <c r="Q10" s="10" t="s">
        <v>32</v>
      </c>
      <c r="R10" s="11" t="s">
        <v>10</v>
      </c>
      <c r="S10" s="11" t="s">
        <v>33</v>
      </c>
      <c r="T10" s="11" t="s">
        <v>34</v>
      </c>
      <c r="U10" s="20"/>
      <c r="V10" s="20"/>
      <c r="W10" s="20"/>
      <c r="X10" s="20"/>
      <c r="Y10" s="20"/>
      <c r="Z10" s="20"/>
    </row>
    <row r="11" spans="1:31" x14ac:dyDescent="0.3">
      <c r="A11" s="4" t="s">
        <v>11</v>
      </c>
      <c r="B11" s="4">
        <v>27750</v>
      </c>
      <c r="C11" s="4">
        <v>25000</v>
      </c>
      <c r="D11" s="4">
        <v>22900</v>
      </c>
      <c r="E11" s="4">
        <f>SUM(F11:I11)</f>
        <v>23700</v>
      </c>
      <c r="F11" s="4">
        <v>8300</v>
      </c>
      <c r="G11" s="4">
        <v>5900</v>
      </c>
      <c r="H11" s="4">
        <v>5900</v>
      </c>
      <c r="I11" s="4">
        <v>3600</v>
      </c>
      <c r="J11" s="24">
        <f>E11/C11</f>
        <v>0.94799999999999995</v>
      </c>
      <c r="M11" s="12" t="s">
        <v>11</v>
      </c>
      <c r="N11" s="13">
        <v>25000</v>
      </c>
      <c r="O11" s="14">
        <v>24400</v>
      </c>
      <c r="P11" s="14">
        <v>4200</v>
      </c>
      <c r="Q11" s="14">
        <v>3400</v>
      </c>
      <c r="R11" s="15">
        <v>25000</v>
      </c>
      <c r="S11" s="15">
        <v>3300</v>
      </c>
      <c r="T11" s="15">
        <v>1900</v>
      </c>
      <c r="U11" s="20"/>
      <c r="V11" s="20"/>
      <c r="W11" s="20"/>
      <c r="X11" s="20"/>
      <c r="Y11" s="20"/>
      <c r="Z11" s="20"/>
      <c r="AA11" t="b">
        <f t="shared" ref="AA11:AA15" si="7">C11=N11</f>
        <v>1</v>
      </c>
      <c r="AB11" s="24">
        <f t="shared" ref="AB11:AB15" si="8">O11/N11</f>
        <v>0.97599999999999998</v>
      </c>
      <c r="AC11" t="b">
        <f t="shared" ref="AC11:AC15" si="9">P11*5+Q11=O11</f>
        <v>1</v>
      </c>
      <c r="AD11" t="b">
        <f t="shared" ref="AD11:AD15" si="10">R11=N11</f>
        <v>1</v>
      </c>
      <c r="AE11" t="b">
        <f t="shared" ref="AE11:AE15" si="11">S11*7+T11=R11</f>
        <v>1</v>
      </c>
    </row>
    <row r="12" spans="1:31" x14ac:dyDescent="0.3">
      <c r="A12" s="4" t="s">
        <v>12</v>
      </c>
      <c r="B12" s="4">
        <v>27750</v>
      </c>
      <c r="C12" s="4">
        <v>25000</v>
      </c>
      <c r="D12" s="4">
        <v>22900</v>
      </c>
      <c r="E12" s="4">
        <f t="shared" ref="E12:E15" si="12">SUM(F12:I12)</f>
        <v>23700</v>
      </c>
      <c r="F12" s="4">
        <v>8300</v>
      </c>
      <c r="G12" s="4">
        <v>5900</v>
      </c>
      <c r="H12" s="4">
        <v>5900</v>
      </c>
      <c r="I12" s="4">
        <v>3600</v>
      </c>
      <c r="J12" s="24">
        <f t="shared" ref="J12:J15" si="13">E12/C12</f>
        <v>0.94799999999999995</v>
      </c>
      <c r="M12" s="16" t="s">
        <v>12</v>
      </c>
      <c r="N12" s="17">
        <v>25000</v>
      </c>
      <c r="O12" s="14">
        <v>24400</v>
      </c>
      <c r="P12" s="14">
        <v>4200</v>
      </c>
      <c r="Q12" s="14">
        <v>3400</v>
      </c>
      <c r="R12" s="19">
        <v>25000</v>
      </c>
      <c r="S12" s="15">
        <v>3300</v>
      </c>
      <c r="T12" s="15">
        <v>1900</v>
      </c>
      <c r="U12" s="20"/>
      <c r="V12" s="20"/>
      <c r="W12" s="20"/>
      <c r="X12" s="20"/>
      <c r="Y12" s="20"/>
      <c r="Z12" s="20"/>
      <c r="AA12" t="b">
        <f t="shared" si="7"/>
        <v>1</v>
      </c>
      <c r="AB12" s="24">
        <f t="shared" si="8"/>
        <v>0.97599999999999998</v>
      </c>
      <c r="AC12" t="b">
        <f t="shared" si="9"/>
        <v>1</v>
      </c>
      <c r="AD12" t="b">
        <f t="shared" si="10"/>
        <v>1</v>
      </c>
      <c r="AE12" t="b">
        <f t="shared" si="11"/>
        <v>1</v>
      </c>
    </row>
    <row r="13" spans="1:31" x14ac:dyDescent="0.3">
      <c r="A13" s="4" t="s">
        <v>13</v>
      </c>
      <c r="B13" s="4">
        <v>27750</v>
      </c>
      <c r="C13" s="4">
        <v>25000</v>
      </c>
      <c r="D13" s="4">
        <v>22900</v>
      </c>
      <c r="E13" s="4">
        <f t="shared" si="12"/>
        <v>23700</v>
      </c>
      <c r="F13" s="4">
        <v>8300</v>
      </c>
      <c r="G13" s="4">
        <v>5900</v>
      </c>
      <c r="H13" s="4">
        <v>5900</v>
      </c>
      <c r="I13" s="4">
        <v>3600</v>
      </c>
      <c r="J13" s="24">
        <f t="shared" si="13"/>
        <v>0.94799999999999995</v>
      </c>
      <c r="M13" s="12" t="s">
        <v>13</v>
      </c>
      <c r="N13" s="13">
        <v>25000</v>
      </c>
      <c r="O13" s="14">
        <v>24400</v>
      </c>
      <c r="P13" s="14">
        <v>4200</v>
      </c>
      <c r="Q13" s="14">
        <v>3400</v>
      </c>
      <c r="R13" s="15">
        <v>25000</v>
      </c>
      <c r="S13" s="15">
        <v>3300</v>
      </c>
      <c r="T13" s="15">
        <v>1900</v>
      </c>
      <c r="U13" s="20"/>
      <c r="V13" s="20"/>
      <c r="W13" s="20"/>
      <c r="X13" s="20"/>
      <c r="Y13" s="20"/>
      <c r="Z13" s="20"/>
      <c r="AA13" t="b">
        <f t="shared" si="7"/>
        <v>1</v>
      </c>
      <c r="AB13" s="24">
        <f t="shared" si="8"/>
        <v>0.97599999999999998</v>
      </c>
      <c r="AC13" t="b">
        <f t="shared" si="9"/>
        <v>1</v>
      </c>
      <c r="AD13" t="b">
        <f t="shared" si="10"/>
        <v>1</v>
      </c>
      <c r="AE13" t="b">
        <f t="shared" si="11"/>
        <v>1</v>
      </c>
    </row>
    <row r="14" spans="1:31" ht="28.8" customHeight="1" x14ac:dyDescent="0.3">
      <c r="A14" s="4" t="s">
        <v>14</v>
      </c>
      <c r="B14" s="4">
        <v>34500</v>
      </c>
      <c r="C14" s="4">
        <v>31000</v>
      </c>
      <c r="D14" s="4">
        <v>28400</v>
      </c>
      <c r="E14" s="4">
        <f t="shared" si="12"/>
        <v>29400</v>
      </c>
      <c r="F14" s="4">
        <v>10300</v>
      </c>
      <c r="G14" s="4">
        <v>7300</v>
      </c>
      <c r="H14" s="4">
        <v>7300</v>
      </c>
      <c r="I14" s="4">
        <v>4500</v>
      </c>
      <c r="J14" s="24">
        <f t="shared" si="13"/>
        <v>0.94838709677419353</v>
      </c>
      <c r="M14" s="16" t="s">
        <v>14</v>
      </c>
      <c r="N14" s="17">
        <v>31000</v>
      </c>
      <c r="O14" s="18">
        <v>30200</v>
      </c>
      <c r="P14" s="14">
        <v>5300</v>
      </c>
      <c r="Q14" s="14">
        <v>3700</v>
      </c>
      <c r="R14" s="19">
        <v>31000</v>
      </c>
      <c r="S14" s="15">
        <v>4100</v>
      </c>
      <c r="T14" s="15">
        <v>2300</v>
      </c>
      <c r="U14" s="20"/>
      <c r="V14" s="20"/>
      <c r="W14" s="20"/>
      <c r="X14" s="20"/>
      <c r="Y14" s="20"/>
      <c r="Z14" s="20"/>
      <c r="AA14" t="b">
        <f t="shared" si="7"/>
        <v>1</v>
      </c>
      <c r="AB14" s="24">
        <f t="shared" si="8"/>
        <v>0.97419354838709682</v>
      </c>
      <c r="AC14" t="b">
        <f t="shared" si="9"/>
        <v>1</v>
      </c>
      <c r="AD14" t="b">
        <f t="shared" si="10"/>
        <v>1</v>
      </c>
      <c r="AE14" t="b">
        <f t="shared" si="11"/>
        <v>1</v>
      </c>
    </row>
    <row r="15" spans="1:31" ht="28.8" customHeight="1" x14ac:dyDescent="0.3">
      <c r="A15" s="4" t="s">
        <v>15</v>
      </c>
      <c r="B15" s="4">
        <v>34500</v>
      </c>
      <c r="C15" s="4">
        <v>31000</v>
      </c>
      <c r="D15" s="4">
        <v>28400</v>
      </c>
      <c r="E15" s="4">
        <f t="shared" si="12"/>
        <v>29400</v>
      </c>
      <c r="F15" s="4">
        <v>10300</v>
      </c>
      <c r="G15" s="4">
        <v>7300</v>
      </c>
      <c r="H15" s="4">
        <v>7300</v>
      </c>
      <c r="I15" s="4">
        <v>4500</v>
      </c>
      <c r="J15" s="24">
        <f t="shared" si="13"/>
        <v>0.94838709677419353</v>
      </c>
      <c r="M15" s="12" t="s">
        <v>15</v>
      </c>
      <c r="N15" s="13">
        <v>31000</v>
      </c>
      <c r="O15" s="14">
        <v>30200</v>
      </c>
      <c r="P15" s="14">
        <v>5300</v>
      </c>
      <c r="Q15" s="14">
        <v>3700</v>
      </c>
      <c r="R15" s="15">
        <v>31000</v>
      </c>
      <c r="S15" s="15">
        <v>4100</v>
      </c>
      <c r="T15" s="15">
        <v>2300</v>
      </c>
      <c r="U15" s="20"/>
      <c r="V15" s="20"/>
      <c r="W15" s="20"/>
      <c r="X15" s="20"/>
      <c r="Y15" s="20"/>
      <c r="Z15" s="20"/>
      <c r="AA15" t="b">
        <f t="shared" si="7"/>
        <v>1</v>
      </c>
      <c r="AB15" s="24">
        <f t="shared" si="8"/>
        <v>0.97419354838709682</v>
      </c>
      <c r="AC15" t="b">
        <f t="shared" si="9"/>
        <v>1</v>
      </c>
      <c r="AD15" t="b">
        <f t="shared" si="10"/>
        <v>1</v>
      </c>
      <c r="AE15" t="b">
        <f t="shared" si="11"/>
        <v>1</v>
      </c>
    </row>
    <row r="19" spans="1:31" ht="27" customHeight="1" x14ac:dyDescent="0.3">
      <c r="A19" s="73" t="s">
        <v>17</v>
      </c>
      <c r="B19" s="74"/>
      <c r="C19" s="74"/>
      <c r="D19" s="74"/>
      <c r="E19" s="74"/>
      <c r="F19" s="74"/>
      <c r="G19" s="74"/>
      <c r="H19" s="74"/>
      <c r="I19" s="74"/>
      <c r="M19" s="75" t="s">
        <v>17</v>
      </c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2"/>
    </row>
    <row r="20" spans="1:31" ht="71.55" customHeight="1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35</v>
      </c>
      <c r="F20" s="1" t="s">
        <v>4</v>
      </c>
      <c r="G20" s="1" t="s">
        <v>5</v>
      </c>
      <c r="H20" s="1" t="s">
        <v>6</v>
      </c>
      <c r="I20" s="1" t="s">
        <v>7</v>
      </c>
      <c r="M20" s="9" t="s">
        <v>0</v>
      </c>
      <c r="N20" s="9" t="s">
        <v>8</v>
      </c>
      <c r="O20" s="10" t="s">
        <v>9</v>
      </c>
      <c r="P20" s="10" t="s">
        <v>31</v>
      </c>
      <c r="Q20" s="10" t="s">
        <v>32</v>
      </c>
      <c r="R20" s="11" t="s">
        <v>10</v>
      </c>
      <c r="S20" s="11" t="s">
        <v>33</v>
      </c>
      <c r="T20" s="11" t="s">
        <v>34</v>
      </c>
      <c r="U20" s="20"/>
      <c r="V20" s="20"/>
      <c r="W20" s="20"/>
      <c r="X20" s="20"/>
      <c r="Y20" s="20"/>
      <c r="Z20" s="20"/>
    </row>
    <row r="21" spans="1:31" x14ac:dyDescent="0.3">
      <c r="A21" s="2" t="s">
        <v>12</v>
      </c>
      <c r="B21" s="2">
        <v>19750</v>
      </c>
      <c r="C21" s="2">
        <v>17800</v>
      </c>
      <c r="D21" s="2">
        <v>16300</v>
      </c>
      <c r="E21" s="2">
        <f>SUM(F21:I21)</f>
        <v>16900</v>
      </c>
      <c r="F21" s="2">
        <v>5900</v>
      </c>
      <c r="G21" s="2">
        <v>4200</v>
      </c>
      <c r="H21" s="2">
        <v>4200</v>
      </c>
      <c r="I21" s="2">
        <v>2600</v>
      </c>
      <c r="J21" s="24">
        <f t="shared" ref="J21:J24" si="14">E21/C21</f>
        <v>0.949438202247191</v>
      </c>
      <c r="M21" s="12" t="s">
        <v>12</v>
      </c>
      <c r="N21" s="13">
        <v>17800</v>
      </c>
      <c r="O21" s="14">
        <v>17400</v>
      </c>
      <c r="P21" s="14">
        <v>3000</v>
      </c>
      <c r="Q21" s="14">
        <v>2400</v>
      </c>
      <c r="R21" s="15">
        <v>17800</v>
      </c>
      <c r="S21" s="15">
        <v>2400</v>
      </c>
      <c r="T21" s="15">
        <v>1000</v>
      </c>
      <c r="U21" s="20"/>
      <c r="V21" s="20"/>
      <c r="W21" s="20"/>
      <c r="X21" s="20"/>
      <c r="Y21" s="20"/>
      <c r="Z21" s="20"/>
      <c r="AA21" t="b">
        <f t="shared" ref="AA21:AA24" si="15">C21=N21</f>
        <v>1</v>
      </c>
      <c r="AB21" s="24">
        <f t="shared" ref="AB21:AB24" si="16">O21/N21</f>
        <v>0.97752808988764039</v>
      </c>
      <c r="AC21" t="b">
        <f t="shared" ref="AC21:AC24" si="17">P21*5+Q21=O21</f>
        <v>1</v>
      </c>
      <c r="AD21" t="b">
        <f t="shared" ref="AD21:AD24" si="18">R21=N21</f>
        <v>1</v>
      </c>
      <c r="AE21" t="b">
        <f t="shared" ref="AE21:AE24" si="19">S21*7+T21=R21</f>
        <v>1</v>
      </c>
    </row>
    <row r="22" spans="1:31" x14ac:dyDescent="0.3">
      <c r="A22" s="2" t="s">
        <v>13</v>
      </c>
      <c r="B22" s="2">
        <v>19750</v>
      </c>
      <c r="C22" s="2">
        <v>17800</v>
      </c>
      <c r="D22" s="2">
        <v>16300</v>
      </c>
      <c r="E22" s="2">
        <f t="shared" ref="E22:E24" si="20">SUM(F22:I22)</f>
        <v>16900</v>
      </c>
      <c r="F22" s="2">
        <v>5900</v>
      </c>
      <c r="G22" s="2">
        <v>4200</v>
      </c>
      <c r="H22" s="2">
        <v>4200</v>
      </c>
      <c r="I22" s="2">
        <v>2600</v>
      </c>
      <c r="J22" s="24">
        <f t="shared" si="14"/>
        <v>0.949438202247191</v>
      </c>
      <c r="M22" s="16" t="s">
        <v>13</v>
      </c>
      <c r="N22" s="17">
        <v>17800</v>
      </c>
      <c r="O22" s="14">
        <v>17400</v>
      </c>
      <c r="P22" s="14">
        <v>3000</v>
      </c>
      <c r="Q22" s="14">
        <v>2400</v>
      </c>
      <c r="R22" s="19">
        <v>17800</v>
      </c>
      <c r="S22" s="15">
        <v>2400</v>
      </c>
      <c r="T22" s="15">
        <v>1000</v>
      </c>
      <c r="U22" s="20"/>
      <c r="V22" s="20"/>
      <c r="W22" s="20"/>
      <c r="X22" s="20"/>
      <c r="Y22" s="20"/>
      <c r="Z22" s="20"/>
      <c r="AA22" t="b">
        <f t="shared" si="15"/>
        <v>1</v>
      </c>
      <c r="AB22" s="24">
        <f t="shared" si="16"/>
        <v>0.97752808988764039</v>
      </c>
      <c r="AC22" t="b">
        <f t="shared" si="17"/>
        <v>1</v>
      </c>
      <c r="AD22" t="b">
        <f t="shared" si="18"/>
        <v>1</v>
      </c>
      <c r="AE22" t="b">
        <f t="shared" si="19"/>
        <v>1</v>
      </c>
    </row>
    <row r="23" spans="1:31" ht="28.8" customHeight="1" x14ac:dyDescent="0.3">
      <c r="A23" s="2" t="s">
        <v>14</v>
      </c>
      <c r="B23" s="2">
        <v>21000</v>
      </c>
      <c r="C23" s="2">
        <v>19000</v>
      </c>
      <c r="D23" s="2">
        <v>17400</v>
      </c>
      <c r="E23" s="2">
        <f t="shared" si="20"/>
        <v>18000</v>
      </c>
      <c r="F23" s="2">
        <v>6300</v>
      </c>
      <c r="G23" s="2">
        <v>4500</v>
      </c>
      <c r="H23" s="2">
        <v>4500</v>
      </c>
      <c r="I23" s="2">
        <v>2700</v>
      </c>
      <c r="J23" s="24">
        <f t="shared" si="14"/>
        <v>0.94736842105263153</v>
      </c>
      <c r="M23" s="12" t="s">
        <v>14</v>
      </c>
      <c r="N23" s="13">
        <v>19000</v>
      </c>
      <c r="O23" s="14">
        <v>18500</v>
      </c>
      <c r="P23" s="14">
        <v>3200</v>
      </c>
      <c r="Q23" s="14">
        <v>2500</v>
      </c>
      <c r="R23" s="15">
        <v>19000</v>
      </c>
      <c r="S23" s="15">
        <v>2500</v>
      </c>
      <c r="T23" s="15">
        <v>1500</v>
      </c>
      <c r="U23" s="20"/>
      <c r="V23" s="20"/>
      <c r="W23" s="20"/>
      <c r="X23" s="20"/>
      <c r="Y23" s="20"/>
      <c r="Z23" s="20"/>
      <c r="AA23" t="b">
        <f t="shared" si="15"/>
        <v>1</v>
      </c>
      <c r="AB23" s="24">
        <f t="shared" si="16"/>
        <v>0.97368421052631582</v>
      </c>
      <c r="AC23" t="b">
        <f t="shared" si="17"/>
        <v>1</v>
      </c>
      <c r="AD23" t="b">
        <f t="shared" si="18"/>
        <v>1</v>
      </c>
      <c r="AE23" t="b">
        <f t="shared" si="19"/>
        <v>1</v>
      </c>
    </row>
    <row r="24" spans="1:31" ht="28.8" customHeight="1" x14ac:dyDescent="0.3">
      <c r="A24" s="2" t="s">
        <v>15</v>
      </c>
      <c r="B24" s="2">
        <v>21000</v>
      </c>
      <c r="C24" s="2">
        <v>19000</v>
      </c>
      <c r="D24" s="2">
        <v>17400</v>
      </c>
      <c r="E24" s="2">
        <f t="shared" si="20"/>
        <v>18000</v>
      </c>
      <c r="F24" s="2">
        <v>6300</v>
      </c>
      <c r="G24" s="2">
        <v>4500</v>
      </c>
      <c r="H24" s="2">
        <v>4500</v>
      </c>
      <c r="I24" s="2">
        <v>2700</v>
      </c>
      <c r="J24" s="24">
        <f t="shared" si="14"/>
        <v>0.94736842105263153</v>
      </c>
      <c r="M24" s="16" t="s">
        <v>15</v>
      </c>
      <c r="N24" s="17">
        <v>19000</v>
      </c>
      <c r="O24" s="18">
        <v>18500</v>
      </c>
      <c r="P24" s="14">
        <v>3200</v>
      </c>
      <c r="Q24" s="14">
        <v>2500</v>
      </c>
      <c r="R24" s="19">
        <v>19000</v>
      </c>
      <c r="S24" s="15">
        <v>2500</v>
      </c>
      <c r="T24" s="15">
        <v>1500</v>
      </c>
      <c r="U24" s="20"/>
      <c r="V24" s="20"/>
      <c r="W24" s="20"/>
      <c r="X24" s="20"/>
      <c r="Y24" s="20"/>
      <c r="Z24" s="20"/>
      <c r="AA24" t="b">
        <f t="shared" si="15"/>
        <v>1</v>
      </c>
      <c r="AB24" s="24">
        <f t="shared" si="16"/>
        <v>0.97368421052631582</v>
      </c>
      <c r="AC24" t="b">
        <f t="shared" si="17"/>
        <v>1</v>
      </c>
      <c r="AD24" t="b">
        <f t="shared" si="18"/>
        <v>1</v>
      </c>
      <c r="AE24" t="b">
        <f t="shared" si="19"/>
        <v>1</v>
      </c>
    </row>
    <row r="28" spans="1:31" x14ac:dyDescent="0.3">
      <c r="A28" s="70" t="s">
        <v>18</v>
      </c>
      <c r="B28" s="71"/>
      <c r="C28" s="71"/>
      <c r="D28" s="71"/>
      <c r="E28" s="71"/>
      <c r="F28" s="71"/>
      <c r="G28" s="71"/>
      <c r="H28" s="71"/>
      <c r="I28" s="72"/>
      <c r="M28" s="75" t="s">
        <v>18</v>
      </c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2"/>
    </row>
    <row r="29" spans="1:31" ht="85.8" customHeight="1" x14ac:dyDescent="0.3">
      <c r="A29" s="3" t="s">
        <v>0</v>
      </c>
      <c r="B29" s="3" t="s">
        <v>1</v>
      </c>
      <c r="C29" s="3" t="s">
        <v>2</v>
      </c>
      <c r="D29" s="3" t="s">
        <v>3</v>
      </c>
      <c r="E29" s="3" t="s">
        <v>35</v>
      </c>
      <c r="F29" s="3" t="s">
        <v>4</v>
      </c>
      <c r="G29" s="3" t="s">
        <v>5</v>
      </c>
      <c r="H29" s="3" t="s">
        <v>6</v>
      </c>
      <c r="I29" s="3" t="s">
        <v>7</v>
      </c>
      <c r="M29" s="9" t="s">
        <v>0</v>
      </c>
      <c r="N29" s="9" t="s">
        <v>8</v>
      </c>
      <c r="O29" s="10" t="s">
        <v>9</v>
      </c>
      <c r="P29" s="10" t="s">
        <v>31</v>
      </c>
      <c r="Q29" s="10" t="s">
        <v>32</v>
      </c>
      <c r="R29" s="11" t="s">
        <v>10</v>
      </c>
      <c r="S29" s="11" t="s">
        <v>33</v>
      </c>
      <c r="T29" s="11" t="s">
        <v>34</v>
      </c>
      <c r="U29" s="20"/>
      <c r="V29" s="20"/>
      <c r="W29" s="20"/>
      <c r="X29" s="20"/>
      <c r="Y29" s="20"/>
      <c r="Z29" s="20"/>
    </row>
    <row r="30" spans="1:31" x14ac:dyDescent="0.3">
      <c r="A30" s="4" t="s">
        <v>12</v>
      </c>
      <c r="B30" s="4">
        <v>27750</v>
      </c>
      <c r="C30" s="4">
        <v>25000</v>
      </c>
      <c r="D30" s="4">
        <v>22700</v>
      </c>
      <c r="E30" s="4">
        <f>SUM(F30:I30)</f>
        <v>23700</v>
      </c>
      <c r="F30" s="4">
        <v>8300</v>
      </c>
      <c r="G30" s="4">
        <v>5900</v>
      </c>
      <c r="H30" s="4">
        <v>5900</v>
      </c>
      <c r="I30" s="4">
        <v>3600</v>
      </c>
      <c r="J30" s="24">
        <f t="shared" ref="J30:J33" si="21">E30/C30</f>
        <v>0.94799999999999995</v>
      </c>
      <c r="M30" s="12" t="s">
        <v>12</v>
      </c>
      <c r="N30" s="13">
        <v>25000</v>
      </c>
      <c r="O30" s="14">
        <v>24400</v>
      </c>
      <c r="P30" s="14">
        <v>4200</v>
      </c>
      <c r="Q30" s="14">
        <v>3400</v>
      </c>
      <c r="R30" s="15">
        <v>25000</v>
      </c>
      <c r="S30" s="15">
        <v>3300</v>
      </c>
      <c r="T30" s="15">
        <v>1900</v>
      </c>
      <c r="U30" s="20"/>
      <c r="V30" s="20"/>
      <c r="W30" s="20"/>
      <c r="X30" s="20"/>
      <c r="Y30" s="20"/>
      <c r="Z30" s="20"/>
      <c r="AA30" t="b">
        <f t="shared" ref="AA30:AA33" si="22">C30=N30</f>
        <v>1</v>
      </c>
      <c r="AB30" s="24">
        <f t="shared" ref="AB30:AB33" si="23">O30/N30</f>
        <v>0.97599999999999998</v>
      </c>
      <c r="AC30" t="b">
        <f t="shared" ref="AC30:AC33" si="24">P30*5+Q30=O30</f>
        <v>1</v>
      </c>
      <c r="AD30" t="b">
        <f t="shared" ref="AD30:AD33" si="25">R30=N30</f>
        <v>1</v>
      </c>
      <c r="AE30" t="b">
        <f t="shared" ref="AE30:AE33" si="26">S30*7+T30=R30</f>
        <v>1</v>
      </c>
    </row>
    <row r="31" spans="1:31" x14ac:dyDescent="0.3">
      <c r="A31" s="4" t="s">
        <v>13</v>
      </c>
      <c r="B31" s="4">
        <v>27750</v>
      </c>
      <c r="C31" s="4">
        <v>25000</v>
      </c>
      <c r="D31" s="4">
        <v>22700</v>
      </c>
      <c r="E31" s="4">
        <f t="shared" ref="E31:E33" si="27">SUM(F31:I31)</f>
        <v>23700</v>
      </c>
      <c r="F31" s="4">
        <v>8300</v>
      </c>
      <c r="G31" s="4">
        <v>5900</v>
      </c>
      <c r="H31" s="4">
        <v>5900</v>
      </c>
      <c r="I31" s="4">
        <v>3600</v>
      </c>
      <c r="J31" s="24">
        <f t="shared" si="21"/>
        <v>0.94799999999999995</v>
      </c>
      <c r="M31" s="16" t="s">
        <v>13</v>
      </c>
      <c r="N31" s="17">
        <v>25000</v>
      </c>
      <c r="O31" s="14">
        <v>24400</v>
      </c>
      <c r="P31" s="14">
        <v>4200</v>
      </c>
      <c r="Q31" s="14">
        <v>3400</v>
      </c>
      <c r="R31" s="19">
        <v>25000</v>
      </c>
      <c r="S31" s="15">
        <v>3300</v>
      </c>
      <c r="T31" s="15">
        <v>1900</v>
      </c>
      <c r="U31" s="20"/>
      <c r="V31" s="20"/>
      <c r="W31" s="20"/>
      <c r="X31" s="20"/>
      <c r="Y31" s="20"/>
      <c r="Z31" s="20"/>
      <c r="AA31" t="b">
        <f t="shared" si="22"/>
        <v>1</v>
      </c>
      <c r="AB31" s="24">
        <f t="shared" si="23"/>
        <v>0.97599999999999998</v>
      </c>
      <c r="AC31" t="b">
        <f t="shared" si="24"/>
        <v>1</v>
      </c>
      <c r="AD31" t="b">
        <f t="shared" si="25"/>
        <v>1</v>
      </c>
      <c r="AE31" t="b">
        <f t="shared" si="26"/>
        <v>1</v>
      </c>
    </row>
    <row r="32" spans="1:31" ht="28.8" customHeight="1" x14ac:dyDescent="0.3">
      <c r="A32" s="4" t="s">
        <v>14</v>
      </c>
      <c r="B32" s="4">
        <v>34500</v>
      </c>
      <c r="C32" s="4">
        <v>31000</v>
      </c>
      <c r="D32" s="4">
        <v>28200</v>
      </c>
      <c r="E32" s="4">
        <f t="shared" si="27"/>
        <v>29400</v>
      </c>
      <c r="F32" s="4">
        <v>10300</v>
      </c>
      <c r="G32" s="4">
        <v>7300</v>
      </c>
      <c r="H32" s="4">
        <v>7300</v>
      </c>
      <c r="I32" s="4">
        <v>4500</v>
      </c>
      <c r="J32" s="24">
        <f t="shared" si="21"/>
        <v>0.94838709677419353</v>
      </c>
      <c r="M32" s="12" t="s">
        <v>14</v>
      </c>
      <c r="N32" s="13">
        <v>31000</v>
      </c>
      <c r="O32" s="14">
        <v>30200</v>
      </c>
      <c r="P32" s="14">
        <v>5300</v>
      </c>
      <c r="Q32" s="14">
        <v>3700</v>
      </c>
      <c r="R32" s="15">
        <v>31000</v>
      </c>
      <c r="S32" s="15">
        <v>4100</v>
      </c>
      <c r="T32" s="15">
        <v>2300</v>
      </c>
      <c r="U32" s="20"/>
      <c r="V32" s="20"/>
      <c r="W32" s="20"/>
      <c r="X32" s="20"/>
      <c r="Y32" s="20"/>
      <c r="Z32" s="20"/>
      <c r="AA32" t="b">
        <f t="shared" si="22"/>
        <v>1</v>
      </c>
      <c r="AB32" s="24">
        <f t="shared" si="23"/>
        <v>0.97419354838709682</v>
      </c>
      <c r="AC32" t="b">
        <f t="shared" si="24"/>
        <v>1</v>
      </c>
      <c r="AD32" t="b">
        <f t="shared" si="25"/>
        <v>1</v>
      </c>
      <c r="AE32" t="b">
        <f t="shared" si="26"/>
        <v>1</v>
      </c>
    </row>
    <row r="33" spans="1:31" ht="28.8" customHeight="1" x14ac:dyDescent="0.3">
      <c r="A33" s="4" t="s">
        <v>15</v>
      </c>
      <c r="B33" s="4">
        <v>34500</v>
      </c>
      <c r="C33" s="4">
        <v>31000</v>
      </c>
      <c r="D33" s="4">
        <v>28200</v>
      </c>
      <c r="E33" s="4">
        <f t="shared" si="27"/>
        <v>29400</v>
      </c>
      <c r="F33" s="4">
        <v>10300</v>
      </c>
      <c r="G33" s="4">
        <v>7300</v>
      </c>
      <c r="H33" s="4">
        <v>7300</v>
      </c>
      <c r="I33" s="4">
        <v>4500</v>
      </c>
      <c r="J33" s="24">
        <f t="shared" si="21"/>
        <v>0.94838709677419353</v>
      </c>
      <c r="M33" s="16" t="s">
        <v>15</v>
      </c>
      <c r="N33" s="17">
        <v>31000</v>
      </c>
      <c r="O33" s="18">
        <v>30200</v>
      </c>
      <c r="P33" s="14">
        <v>5300</v>
      </c>
      <c r="Q33" s="14">
        <v>3700</v>
      </c>
      <c r="R33" s="19">
        <v>31000</v>
      </c>
      <c r="S33" s="15">
        <v>4100</v>
      </c>
      <c r="T33" s="15">
        <v>2300</v>
      </c>
      <c r="U33" s="20"/>
      <c r="V33" s="20"/>
      <c r="W33" s="20"/>
      <c r="X33" s="20"/>
      <c r="Y33" s="20"/>
      <c r="Z33" s="20"/>
      <c r="AA33" t="b">
        <f t="shared" si="22"/>
        <v>1</v>
      </c>
      <c r="AB33" s="24">
        <f t="shared" si="23"/>
        <v>0.97419354838709682</v>
      </c>
      <c r="AC33" t="b">
        <f t="shared" si="24"/>
        <v>1</v>
      </c>
      <c r="AD33" t="b">
        <f t="shared" si="25"/>
        <v>1</v>
      </c>
      <c r="AE33" t="b">
        <f t="shared" si="26"/>
        <v>1</v>
      </c>
    </row>
    <row r="41" spans="1:31" x14ac:dyDescent="0.3">
      <c r="A41" s="73" t="s">
        <v>19</v>
      </c>
      <c r="B41" s="74"/>
      <c r="C41" s="74"/>
      <c r="D41" s="74"/>
      <c r="E41" s="74"/>
      <c r="F41" s="74"/>
      <c r="G41" s="74"/>
      <c r="H41" s="74"/>
      <c r="I41" s="74"/>
      <c r="M41" s="75" t="s">
        <v>19</v>
      </c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2"/>
    </row>
    <row r="42" spans="1:31" ht="83.55" customHeight="1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35</v>
      </c>
      <c r="F42" s="1" t="s">
        <v>4</v>
      </c>
      <c r="G42" s="1" t="s">
        <v>5</v>
      </c>
      <c r="H42" s="1" t="s">
        <v>6</v>
      </c>
      <c r="I42" s="1" t="s">
        <v>7</v>
      </c>
      <c r="M42" s="9" t="s">
        <v>0</v>
      </c>
      <c r="N42" s="9" t="s">
        <v>8</v>
      </c>
      <c r="O42" s="10" t="s">
        <v>9</v>
      </c>
      <c r="P42" s="10" t="s">
        <v>31</v>
      </c>
      <c r="Q42" s="10" t="s">
        <v>32</v>
      </c>
      <c r="R42" s="11" t="s">
        <v>10</v>
      </c>
      <c r="S42" s="11" t="s">
        <v>33</v>
      </c>
      <c r="T42" s="11" t="s">
        <v>34</v>
      </c>
      <c r="U42" s="20"/>
      <c r="V42" s="20"/>
      <c r="W42" s="20"/>
      <c r="X42" s="20"/>
      <c r="Y42" s="20"/>
      <c r="Z42" s="20"/>
    </row>
    <row r="43" spans="1:31" x14ac:dyDescent="0.3">
      <c r="A43" s="2" t="s">
        <v>12</v>
      </c>
      <c r="B43" s="2">
        <v>19750</v>
      </c>
      <c r="C43" s="2">
        <v>17800</v>
      </c>
      <c r="D43" s="2">
        <v>16300</v>
      </c>
      <c r="E43" s="2">
        <f>SUM(F43:I43)</f>
        <v>16900</v>
      </c>
      <c r="F43" s="2">
        <v>5900</v>
      </c>
      <c r="G43" s="2">
        <v>4200</v>
      </c>
      <c r="H43" s="2">
        <v>4200</v>
      </c>
      <c r="I43" s="2">
        <v>2600</v>
      </c>
      <c r="J43" s="24">
        <f t="shared" ref="J43:J46" si="28">E43/C43</f>
        <v>0.949438202247191</v>
      </c>
      <c r="M43" s="12" t="s">
        <v>12</v>
      </c>
      <c r="N43" s="13">
        <v>17800</v>
      </c>
      <c r="O43" s="14">
        <v>17400</v>
      </c>
      <c r="P43" s="14">
        <v>3000</v>
      </c>
      <c r="Q43" s="14">
        <v>2400</v>
      </c>
      <c r="R43" s="15">
        <v>17800</v>
      </c>
      <c r="S43" s="15">
        <v>2400</v>
      </c>
      <c r="T43" s="15">
        <v>1000</v>
      </c>
      <c r="U43" s="20"/>
      <c r="V43" s="20"/>
      <c r="W43" s="20"/>
      <c r="X43" s="20"/>
      <c r="Y43" s="20"/>
      <c r="Z43" s="20"/>
      <c r="AA43" t="b">
        <f t="shared" ref="AA43:AA46" si="29">C43=N43</f>
        <v>1</v>
      </c>
      <c r="AB43" s="24">
        <f t="shared" ref="AB43:AB46" si="30">O43/N43</f>
        <v>0.97752808988764039</v>
      </c>
      <c r="AC43" t="b">
        <f t="shared" ref="AC43:AC46" si="31">P43*5+Q43=O43</f>
        <v>1</v>
      </c>
      <c r="AD43" t="b">
        <f t="shared" ref="AD43:AD46" si="32">R43=N43</f>
        <v>1</v>
      </c>
      <c r="AE43" t="b">
        <f t="shared" ref="AE43:AE46" si="33">S43*7+T43=R43</f>
        <v>1</v>
      </c>
    </row>
    <row r="44" spans="1:31" x14ac:dyDescent="0.3">
      <c r="A44" s="2" t="s">
        <v>20</v>
      </c>
      <c r="B44" s="2">
        <v>27750</v>
      </c>
      <c r="C44" s="2">
        <v>25000</v>
      </c>
      <c r="D44" s="2">
        <v>22900</v>
      </c>
      <c r="E44" s="2">
        <f t="shared" ref="E44:E46" si="34">SUM(F44:I44)</f>
        <v>23700</v>
      </c>
      <c r="F44" s="2">
        <v>8300</v>
      </c>
      <c r="G44" s="2">
        <v>5900</v>
      </c>
      <c r="H44" s="2">
        <v>5900</v>
      </c>
      <c r="I44" s="2">
        <v>3600</v>
      </c>
      <c r="J44" s="24">
        <f t="shared" si="28"/>
        <v>0.94799999999999995</v>
      </c>
      <c r="M44" s="16" t="s">
        <v>20</v>
      </c>
      <c r="N44" s="17">
        <v>25000</v>
      </c>
      <c r="O44" s="18">
        <v>24400</v>
      </c>
      <c r="P44" s="14">
        <v>4200</v>
      </c>
      <c r="Q44" s="14">
        <v>3400</v>
      </c>
      <c r="R44" s="19">
        <v>25000</v>
      </c>
      <c r="S44" s="15">
        <v>3300</v>
      </c>
      <c r="T44" s="15">
        <v>1900</v>
      </c>
      <c r="U44" s="20"/>
      <c r="V44" s="20"/>
      <c r="W44" s="20"/>
      <c r="X44" s="20"/>
      <c r="Y44" s="20"/>
      <c r="Z44" s="20"/>
      <c r="AA44" t="b">
        <f t="shared" si="29"/>
        <v>1</v>
      </c>
      <c r="AB44" s="24">
        <f t="shared" si="30"/>
        <v>0.97599999999999998</v>
      </c>
      <c r="AC44" t="b">
        <f t="shared" si="31"/>
        <v>1</v>
      </c>
      <c r="AD44" t="b">
        <f t="shared" si="32"/>
        <v>1</v>
      </c>
      <c r="AE44" t="b">
        <f t="shared" si="33"/>
        <v>1</v>
      </c>
    </row>
    <row r="45" spans="1:31" x14ac:dyDescent="0.3">
      <c r="A45" s="2" t="s">
        <v>13</v>
      </c>
      <c r="B45" s="2">
        <v>19750</v>
      </c>
      <c r="C45" s="2">
        <v>17800</v>
      </c>
      <c r="D45" s="2">
        <v>16300</v>
      </c>
      <c r="E45" s="2">
        <f t="shared" si="34"/>
        <v>16900</v>
      </c>
      <c r="F45" s="2">
        <v>5900</v>
      </c>
      <c r="G45" s="2">
        <v>4200</v>
      </c>
      <c r="H45" s="2">
        <v>4200</v>
      </c>
      <c r="I45" s="2">
        <v>2600</v>
      </c>
      <c r="J45" s="24">
        <f t="shared" si="28"/>
        <v>0.949438202247191</v>
      </c>
      <c r="M45" s="12" t="s">
        <v>13</v>
      </c>
      <c r="N45" s="13">
        <v>17800</v>
      </c>
      <c r="O45" s="14">
        <v>17400</v>
      </c>
      <c r="P45" s="14">
        <v>3000</v>
      </c>
      <c r="Q45" s="14">
        <v>2400</v>
      </c>
      <c r="R45" s="15">
        <v>17800</v>
      </c>
      <c r="S45" s="15">
        <v>2400</v>
      </c>
      <c r="T45" s="15">
        <v>1000</v>
      </c>
      <c r="U45" s="20"/>
      <c r="V45" s="20"/>
      <c r="W45" s="20"/>
      <c r="X45" s="20"/>
      <c r="Y45" s="20"/>
      <c r="Z45" s="20"/>
      <c r="AA45" t="b">
        <f t="shared" si="29"/>
        <v>1</v>
      </c>
      <c r="AB45" s="24">
        <f t="shared" si="30"/>
        <v>0.97752808988764039</v>
      </c>
      <c r="AC45" t="b">
        <f t="shared" si="31"/>
        <v>1</v>
      </c>
      <c r="AD45" t="b">
        <f t="shared" si="32"/>
        <v>1</v>
      </c>
      <c r="AE45" t="b">
        <f t="shared" si="33"/>
        <v>1</v>
      </c>
    </row>
    <row r="46" spans="1:31" x14ac:dyDescent="0.3">
      <c r="A46" s="2" t="s">
        <v>21</v>
      </c>
      <c r="B46" s="2">
        <v>27750</v>
      </c>
      <c r="C46" s="2">
        <v>25000</v>
      </c>
      <c r="D46" s="2">
        <v>22900</v>
      </c>
      <c r="E46" s="2">
        <f t="shared" si="34"/>
        <v>23700</v>
      </c>
      <c r="F46" s="2">
        <v>8300</v>
      </c>
      <c r="G46" s="2">
        <v>5900</v>
      </c>
      <c r="H46" s="2">
        <v>5900</v>
      </c>
      <c r="I46" s="2">
        <v>3600</v>
      </c>
      <c r="J46" s="24">
        <f t="shared" si="28"/>
        <v>0.94799999999999995</v>
      </c>
      <c r="M46" s="16" t="s">
        <v>21</v>
      </c>
      <c r="N46" s="17">
        <v>25000</v>
      </c>
      <c r="O46" s="18">
        <v>24400</v>
      </c>
      <c r="P46" s="14">
        <v>4200</v>
      </c>
      <c r="Q46" s="14">
        <v>3400</v>
      </c>
      <c r="R46" s="19">
        <v>25000</v>
      </c>
      <c r="S46" s="15">
        <v>3300</v>
      </c>
      <c r="T46" s="15">
        <v>1900</v>
      </c>
      <c r="U46" s="20"/>
      <c r="V46" s="20"/>
      <c r="W46" s="20"/>
      <c r="X46" s="20"/>
      <c r="Y46" s="20"/>
      <c r="Z46" s="20"/>
      <c r="AA46" t="b">
        <f t="shared" si="29"/>
        <v>1</v>
      </c>
      <c r="AB46" s="24">
        <f t="shared" si="30"/>
        <v>0.97599999999999998</v>
      </c>
      <c r="AC46" t="b">
        <f t="shared" si="31"/>
        <v>1</v>
      </c>
      <c r="AD46" t="b">
        <f t="shared" si="32"/>
        <v>1</v>
      </c>
      <c r="AE46" t="b">
        <f t="shared" si="33"/>
        <v>1</v>
      </c>
    </row>
    <row r="51" spans="1:31" ht="14.55" customHeight="1" x14ac:dyDescent="0.3">
      <c r="A51" s="70" t="s">
        <v>22</v>
      </c>
      <c r="B51" s="71"/>
      <c r="C51" s="71"/>
      <c r="D51" s="71"/>
      <c r="E51" s="71"/>
      <c r="F51" s="71"/>
      <c r="G51" s="71"/>
      <c r="H51" s="71"/>
      <c r="I51" s="72"/>
      <c r="M51" s="75" t="s">
        <v>22</v>
      </c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2"/>
    </row>
    <row r="52" spans="1:31" ht="91.8" customHeight="1" x14ac:dyDescent="0.3">
      <c r="A52" s="3" t="s">
        <v>0</v>
      </c>
      <c r="B52" s="3" t="s">
        <v>1</v>
      </c>
      <c r="C52" s="3" t="s">
        <v>2</v>
      </c>
      <c r="D52" s="3" t="s">
        <v>3</v>
      </c>
      <c r="E52" s="3" t="s">
        <v>35</v>
      </c>
      <c r="F52" s="3" t="s">
        <v>4</v>
      </c>
      <c r="G52" s="3" t="s">
        <v>5</v>
      </c>
      <c r="H52" s="3" t="s">
        <v>6</v>
      </c>
      <c r="I52" s="3" t="s">
        <v>7</v>
      </c>
      <c r="M52" s="9" t="s">
        <v>0</v>
      </c>
      <c r="N52" s="9" t="s">
        <v>8</v>
      </c>
      <c r="O52" s="10" t="s">
        <v>9</v>
      </c>
      <c r="P52" s="10" t="s">
        <v>31</v>
      </c>
      <c r="Q52" s="10" t="s">
        <v>32</v>
      </c>
      <c r="R52" s="11" t="s">
        <v>10</v>
      </c>
      <c r="S52" s="11" t="s">
        <v>33</v>
      </c>
      <c r="T52" s="11" t="s">
        <v>34</v>
      </c>
      <c r="U52" s="20"/>
      <c r="V52" s="20"/>
      <c r="W52" s="20"/>
      <c r="X52" s="20"/>
      <c r="Y52" s="20"/>
      <c r="Z52" s="20"/>
    </row>
    <row r="53" spans="1:31" x14ac:dyDescent="0.3">
      <c r="A53" s="4" t="s">
        <v>12</v>
      </c>
      <c r="B53" s="4">
        <v>27750</v>
      </c>
      <c r="C53" s="4">
        <v>25000</v>
      </c>
      <c r="D53" s="4">
        <v>22900</v>
      </c>
      <c r="E53" s="4">
        <f>SUM(F53:I53)</f>
        <v>23800</v>
      </c>
      <c r="F53" s="4">
        <v>8300</v>
      </c>
      <c r="G53" s="4">
        <v>5900</v>
      </c>
      <c r="H53" s="4">
        <v>5900</v>
      </c>
      <c r="I53" s="4">
        <v>3700</v>
      </c>
      <c r="J53" s="24">
        <f t="shared" ref="J53:J56" si="35">E53/C53</f>
        <v>0.95199999999999996</v>
      </c>
      <c r="M53" s="12" t="s">
        <v>12</v>
      </c>
      <c r="N53" s="13">
        <v>25000</v>
      </c>
      <c r="O53" s="14">
        <v>24400</v>
      </c>
      <c r="P53" s="14">
        <v>4200</v>
      </c>
      <c r="Q53" s="14">
        <v>3400</v>
      </c>
      <c r="R53" s="15">
        <v>25000</v>
      </c>
      <c r="S53" s="15">
        <v>3300</v>
      </c>
      <c r="T53" s="15">
        <v>1900</v>
      </c>
      <c r="U53" s="20"/>
      <c r="V53" s="20"/>
      <c r="W53" s="20"/>
      <c r="X53" s="20"/>
      <c r="Y53" s="20"/>
      <c r="Z53" s="20"/>
      <c r="AA53" t="b">
        <f t="shared" ref="AA53:AA56" si="36">C53=N53</f>
        <v>1</v>
      </c>
      <c r="AB53" s="24">
        <f t="shared" ref="AB53:AB56" si="37">O53/N53</f>
        <v>0.97599999999999998</v>
      </c>
      <c r="AC53" t="b">
        <f t="shared" ref="AC53:AC56" si="38">P53*5+Q53=O53</f>
        <v>1</v>
      </c>
      <c r="AD53" t="b">
        <f t="shared" ref="AD53:AD56" si="39">R53=N53</f>
        <v>1</v>
      </c>
      <c r="AE53" t="b">
        <f t="shared" ref="AE53:AE56" si="40">S53*7+T53=R53</f>
        <v>1</v>
      </c>
    </row>
    <row r="54" spans="1:31" x14ac:dyDescent="0.3">
      <c r="A54" s="4" t="s">
        <v>20</v>
      </c>
      <c r="B54" s="4">
        <v>41000</v>
      </c>
      <c r="C54" s="4">
        <v>37000</v>
      </c>
      <c r="D54" s="4">
        <v>33900</v>
      </c>
      <c r="E54" s="4">
        <f t="shared" ref="E54:E56" si="41">SUM(F54:I54)</f>
        <v>35200</v>
      </c>
      <c r="F54" s="4">
        <v>12300</v>
      </c>
      <c r="G54" s="4">
        <v>8700</v>
      </c>
      <c r="H54" s="4">
        <v>8700</v>
      </c>
      <c r="I54" s="4">
        <v>5500</v>
      </c>
      <c r="J54" s="24">
        <f t="shared" si="35"/>
        <v>0.9513513513513514</v>
      </c>
      <c r="M54" s="16" t="s">
        <v>20</v>
      </c>
      <c r="N54" s="17">
        <v>37000</v>
      </c>
      <c r="O54" s="18">
        <v>36100</v>
      </c>
      <c r="P54" s="14">
        <v>6300</v>
      </c>
      <c r="Q54" s="14">
        <v>4600</v>
      </c>
      <c r="R54" s="19">
        <v>37000</v>
      </c>
      <c r="S54" s="15">
        <v>4900</v>
      </c>
      <c r="T54" s="15">
        <v>2700</v>
      </c>
      <c r="U54" s="20"/>
      <c r="V54" s="20"/>
      <c r="W54" s="20"/>
      <c r="X54" s="20"/>
      <c r="Y54" s="20"/>
      <c r="Z54" s="20"/>
      <c r="AA54" t="b">
        <f t="shared" si="36"/>
        <v>1</v>
      </c>
      <c r="AB54" s="24">
        <f t="shared" si="37"/>
        <v>0.9756756756756757</v>
      </c>
      <c r="AC54" t="b">
        <f t="shared" si="38"/>
        <v>1</v>
      </c>
      <c r="AD54" t="b">
        <f t="shared" si="39"/>
        <v>1</v>
      </c>
      <c r="AE54" t="b">
        <f t="shared" si="40"/>
        <v>1</v>
      </c>
    </row>
    <row r="55" spans="1:31" x14ac:dyDescent="0.3">
      <c r="A55" s="4" t="s">
        <v>13</v>
      </c>
      <c r="B55" s="4">
        <v>27750</v>
      </c>
      <c r="C55" s="4">
        <v>25000</v>
      </c>
      <c r="D55" s="4">
        <v>22900</v>
      </c>
      <c r="E55" s="4">
        <f t="shared" si="41"/>
        <v>23800</v>
      </c>
      <c r="F55" s="4">
        <v>8300</v>
      </c>
      <c r="G55" s="4">
        <v>5900</v>
      </c>
      <c r="H55" s="4">
        <v>5900</v>
      </c>
      <c r="I55" s="4">
        <v>3700</v>
      </c>
      <c r="J55" s="24">
        <f t="shared" si="35"/>
        <v>0.95199999999999996</v>
      </c>
      <c r="M55" s="12" t="s">
        <v>13</v>
      </c>
      <c r="N55" s="13">
        <v>25000</v>
      </c>
      <c r="O55" s="14">
        <v>24400</v>
      </c>
      <c r="P55" s="14">
        <v>4200</v>
      </c>
      <c r="Q55" s="14">
        <v>3400</v>
      </c>
      <c r="R55" s="15">
        <v>25000</v>
      </c>
      <c r="S55" s="15">
        <v>3300</v>
      </c>
      <c r="T55" s="15">
        <v>1900</v>
      </c>
      <c r="U55" s="20"/>
      <c r="V55" s="20"/>
      <c r="W55" s="20"/>
      <c r="X55" s="20"/>
      <c r="Y55" s="20"/>
      <c r="Z55" s="20"/>
      <c r="AA55" t="b">
        <f t="shared" si="36"/>
        <v>1</v>
      </c>
      <c r="AB55" s="24">
        <f t="shared" si="37"/>
        <v>0.97599999999999998</v>
      </c>
      <c r="AC55" t="b">
        <f t="shared" si="38"/>
        <v>1</v>
      </c>
      <c r="AD55" t="b">
        <f t="shared" si="39"/>
        <v>1</v>
      </c>
      <c r="AE55" t="b">
        <f t="shared" si="40"/>
        <v>1</v>
      </c>
    </row>
    <row r="56" spans="1:31" x14ac:dyDescent="0.3">
      <c r="A56" s="4" t="s">
        <v>21</v>
      </c>
      <c r="B56" s="4">
        <v>41000</v>
      </c>
      <c r="C56" s="4">
        <v>37000</v>
      </c>
      <c r="D56" s="4">
        <v>33900</v>
      </c>
      <c r="E56" s="4">
        <f t="shared" si="41"/>
        <v>35200</v>
      </c>
      <c r="F56" s="4">
        <v>12300</v>
      </c>
      <c r="G56" s="4">
        <v>8700</v>
      </c>
      <c r="H56" s="4">
        <v>8700</v>
      </c>
      <c r="I56" s="4">
        <v>5500</v>
      </c>
      <c r="J56" s="24">
        <f t="shared" si="35"/>
        <v>0.9513513513513514</v>
      </c>
      <c r="M56" s="16" t="s">
        <v>21</v>
      </c>
      <c r="N56" s="17">
        <v>37000</v>
      </c>
      <c r="O56" s="18">
        <v>36100</v>
      </c>
      <c r="P56" s="14">
        <v>6300</v>
      </c>
      <c r="Q56" s="14">
        <v>4600</v>
      </c>
      <c r="R56" s="19">
        <v>37000</v>
      </c>
      <c r="S56" s="15">
        <v>4900</v>
      </c>
      <c r="T56" s="15">
        <v>2700</v>
      </c>
      <c r="U56" s="20"/>
      <c r="V56" s="20"/>
      <c r="W56" s="20"/>
      <c r="X56" s="20"/>
      <c r="Y56" s="20"/>
      <c r="Z56" s="20"/>
      <c r="AA56" t="b">
        <f t="shared" si="36"/>
        <v>1</v>
      </c>
      <c r="AB56" s="24">
        <f t="shared" si="37"/>
        <v>0.9756756756756757</v>
      </c>
      <c r="AC56" t="b">
        <f t="shared" si="38"/>
        <v>1</v>
      </c>
      <c r="AD56" t="b">
        <f t="shared" si="39"/>
        <v>1</v>
      </c>
      <c r="AE56" t="b">
        <f t="shared" si="40"/>
        <v>1</v>
      </c>
    </row>
    <row r="62" spans="1:31" x14ac:dyDescent="0.3">
      <c r="A62" s="73" t="s">
        <v>23</v>
      </c>
      <c r="B62" s="74"/>
      <c r="C62" s="74"/>
      <c r="D62" s="74"/>
      <c r="E62" s="74"/>
      <c r="F62" s="74"/>
      <c r="G62" s="74"/>
      <c r="H62" s="74"/>
      <c r="I62" s="74"/>
      <c r="M62" s="75" t="s">
        <v>23</v>
      </c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2"/>
    </row>
    <row r="63" spans="1:31" ht="86.55" customHeight="1" x14ac:dyDescent="0.3">
      <c r="A63" s="1" t="s">
        <v>0</v>
      </c>
      <c r="B63" s="1" t="s">
        <v>1</v>
      </c>
      <c r="C63" s="1" t="s">
        <v>2</v>
      </c>
      <c r="D63" s="1" t="s">
        <v>3</v>
      </c>
      <c r="E63" s="1" t="s">
        <v>35</v>
      </c>
      <c r="F63" s="1" t="s">
        <v>4</v>
      </c>
      <c r="G63" s="1" t="s">
        <v>5</v>
      </c>
      <c r="H63" s="1" t="s">
        <v>6</v>
      </c>
      <c r="I63" s="1" t="s">
        <v>7</v>
      </c>
      <c r="M63" s="9" t="s">
        <v>0</v>
      </c>
      <c r="N63" s="9" t="s">
        <v>8</v>
      </c>
      <c r="O63" s="10" t="s">
        <v>9</v>
      </c>
      <c r="P63" s="10" t="s">
        <v>31</v>
      </c>
      <c r="Q63" s="10" t="s">
        <v>32</v>
      </c>
      <c r="R63" s="11" t="s">
        <v>10</v>
      </c>
      <c r="S63" s="11" t="s">
        <v>33</v>
      </c>
      <c r="T63" s="11" t="s">
        <v>34</v>
      </c>
      <c r="U63" s="20"/>
      <c r="V63" s="20"/>
      <c r="W63" s="20"/>
      <c r="X63" s="20"/>
      <c r="Y63" s="20"/>
      <c r="Z63" s="20"/>
    </row>
    <row r="64" spans="1:31" x14ac:dyDescent="0.3">
      <c r="A64" s="2" t="s">
        <v>20</v>
      </c>
      <c r="B64" s="2">
        <v>48500</v>
      </c>
      <c r="C64" s="2">
        <v>43000</v>
      </c>
      <c r="D64" s="2">
        <v>39400</v>
      </c>
      <c r="E64" s="2">
        <f>SUM(F64:I64)</f>
        <v>40900</v>
      </c>
      <c r="F64" s="2">
        <v>14300</v>
      </c>
      <c r="G64" s="2">
        <v>10200</v>
      </c>
      <c r="H64" s="2">
        <v>10200</v>
      </c>
      <c r="I64" s="2">
        <v>6200</v>
      </c>
      <c r="J64" s="24">
        <f t="shared" ref="J64:J67" si="42">E64/C64</f>
        <v>0.9511627906976744</v>
      </c>
      <c r="M64" s="12" t="s">
        <v>20</v>
      </c>
      <c r="N64" s="13">
        <v>43000</v>
      </c>
      <c r="O64" s="14">
        <v>41900</v>
      </c>
      <c r="P64" s="14">
        <v>7300</v>
      </c>
      <c r="Q64" s="14">
        <v>5400</v>
      </c>
      <c r="R64" s="15">
        <v>43000</v>
      </c>
      <c r="S64" s="15">
        <v>5700</v>
      </c>
      <c r="T64" s="15">
        <v>3100</v>
      </c>
      <c r="U64" s="20"/>
      <c r="V64" s="20"/>
      <c r="W64" s="20"/>
      <c r="X64" s="20"/>
      <c r="Y64" s="20"/>
      <c r="Z64" s="20"/>
      <c r="AA64" t="b">
        <f t="shared" ref="AA64:AA67" si="43">C64=N64</f>
        <v>1</v>
      </c>
      <c r="AB64" s="24">
        <f t="shared" ref="AB64:AB67" si="44">O64/N64</f>
        <v>0.97441860465116281</v>
      </c>
      <c r="AC64" t="b">
        <f t="shared" ref="AC64:AC67" si="45">P64*5+Q64=O64</f>
        <v>1</v>
      </c>
      <c r="AD64" t="b">
        <f t="shared" ref="AD64:AD67" si="46">R64=N64</f>
        <v>1</v>
      </c>
      <c r="AE64" t="b">
        <f t="shared" ref="AE64:AE67" si="47">S64*7+T64=R64</f>
        <v>1</v>
      </c>
    </row>
    <row r="65" spans="1:31" x14ac:dyDescent="0.3">
      <c r="A65" s="2" t="s">
        <v>21</v>
      </c>
      <c r="B65" s="2">
        <v>48500</v>
      </c>
      <c r="C65" s="2">
        <v>43000</v>
      </c>
      <c r="D65" s="2">
        <v>39400</v>
      </c>
      <c r="E65" s="2">
        <f t="shared" ref="E65:E67" si="48">SUM(F65:I65)</f>
        <v>40900</v>
      </c>
      <c r="F65" s="2">
        <v>14300</v>
      </c>
      <c r="G65" s="2">
        <v>10200</v>
      </c>
      <c r="H65" s="2">
        <v>10200</v>
      </c>
      <c r="I65" s="2">
        <v>6200</v>
      </c>
      <c r="J65" s="24">
        <f t="shared" si="42"/>
        <v>0.9511627906976744</v>
      </c>
      <c r="M65" s="16" t="s">
        <v>21</v>
      </c>
      <c r="N65" s="17">
        <v>43000</v>
      </c>
      <c r="O65" s="18">
        <v>41900</v>
      </c>
      <c r="P65" s="14">
        <v>7300</v>
      </c>
      <c r="Q65" s="14">
        <v>5400</v>
      </c>
      <c r="R65" s="19">
        <v>43000</v>
      </c>
      <c r="S65" s="15">
        <v>5700</v>
      </c>
      <c r="T65" s="15">
        <v>3100</v>
      </c>
      <c r="U65" s="20"/>
      <c r="V65" s="20"/>
      <c r="W65" s="20"/>
      <c r="X65" s="20"/>
      <c r="Y65" s="20"/>
      <c r="Z65" s="20"/>
      <c r="AA65" t="b">
        <f t="shared" si="43"/>
        <v>1</v>
      </c>
      <c r="AB65" s="24">
        <f t="shared" si="44"/>
        <v>0.97441860465116281</v>
      </c>
      <c r="AC65" t="b">
        <f t="shared" si="45"/>
        <v>1</v>
      </c>
      <c r="AD65" t="b">
        <f t="shared" si="46"/>
        <v>1</v>
      </c>
      <c r="AE65" t="b">
        <f t="shared" si="47"/>
        <v>1</v>
      </c>
    </row>
    <row r="66" spans="1:31" ht="28.8" customHeight="1" x14ac:dyDescent="0.3">
      <c r="A66" s="2" t="s">
        <v>14</v>
      </c>
      <c r="B66" s="2">
        <v>68500</v>
      </c>
      <c r="C66" s="2">
        <v>61000</v>
      </c>
      <c r="D66" s="2">
        <v>55900</v>
      </c>
      <c r="E66" s="2">
        <f t="shared" si="48"/>
        <v>57900</v>
      </c>
      <c r="F66" s="2">
        <v>20400</v>
      </c>
      <c r="G66" s="2">
        <v>14400</v>
      </c>
      <c r="H66" s="2">
        <v>14400</v>
      </c>
      <c r="I66" s="2">
        <v>8700</v>
      </c>
      <c r="J66" s="24">
        <f t="shared" si="42"/>
        <v>0.94918032786885242</v>
      </c>
      <c r="M66" s="12" t="s">
        <v>14</v>
      </c>
      <c r="N66" s="13">
        <v>61000</v>
      </c>
      <c r="O66" s="14">
        <v>59500</v>
      </c>
      <c r="P66" s="14">
        <v>10300</v>
      </c>
      <c r="Q66" s="14">
        <v>8000</v>
      </c>
      <c r="R66" s="15">
        <v>61000</v>
      </c>
      <c r="S66" s="15">
        <v>8100</v>
      </c>
      <c r="T66" s="15">
        <v>4300</v>
      </c>
      <c r="U66" s="20"/>
      <c r="V66" s="20"/>
      <c r="W66" s="20"/>
      <c r="X66" s="20"/>
      <c r="Y66" s="20"/>
      <c r="Z66" s="20"/>
      <c r="AA66" t="b">
        <f t="shared" si="43"/>
        <v>1</v>
      </c>
      <c r="AB66" s="24">
        <f t="shared" si="44"/>
        <v>0.97540983606557374</v>
      </c>
      <c r="AC66" t="b">
        <f t="shared" si="45"/>
        <v>1</v>
      </c>
      <c r="AD66" t="b">
        <f t="shared" si="46"/>
        <v>1</v>
      </c>
      <c r="AE66" t="b">
        <f t="shared" si="47"/>
        <v>1</v>
      </c>
    </row>
    <row r="67" spans="1:31" ht="28.8" customHeight="1" x14ac:dyDescent="0.3">
      <c r="A67" s="2" t="s">
        <v>15</v>
      </c>
      <c r="B67" s="2">
        <v>68500</v>
      </c>
      <c r="C67" s="2">
        <v>61000</v>
      </c>
      <c r="D67" s="2">
        <v>55900</v>
      </c>
      <c r="E67" s="2">
        <f t="shared" si="48"/>
        <v>57900</v>
      </c>
      <c r="F67" s="2">
        <v>20400</v>
      </c>
      <c r="G67" s="2">
        <v>14400</v>
      </c>
      <c r="H67" s="2">
        <v>14400</v>
      </c>
      <c r="I67" s="2">
        <v>8700</v>
      </c>
      <c r="J67" s="24">
        <f t="shared" si="42"/>
        <v>0.94918032786885242</v>
      </c>
      <c r="M67" s="16" t="s">
        <v>15</v>
      </c>
      <c r="N67" s="17">
        <v>61000</v>
      </c>
      <c r="O67" s="14">
        <v>59500</v>
      </c>
      <c r="P67" s="14">
        <v>10300</v>
      </c>
      <c r="Q67" s="14">
        <v>8000</v>
      </c>
      <c r="R67" s="19">
        <v>61000</v>
      </c>
      <c r="S67" s="15">
        <v>8100</v>
      </c>
      <c r="T67" s="15">
        <v>4300</v>
      </c>
      <c r="U67" s="20"/>
      <c r="V67" s="20"/>
      <c r="W67" s="20"/>
      <c r="X67" s="20"/>
      <c r="Y67" s="20"/>
      <c r="Z67" s="20"/>
      <c r="AA67" t="b">
        <f t="shared" si="43"/>
        <v>1</v>
      </c>
      <c r="AB67" s="24">
        <f t="shared" si="44"/>
        <v>0.97540983606557374</v>
      </c>
      <c r="AC67" t="b">
        <f t="shared" si="45"/>
        <v>1</v>
      </c>
      <c r="AD67" t="b">
        <f t="shared" si="46"/>
        <v>1</v>
      </c>
      <c r="AE67" t="b">
        <f t="shared" si="47"/>
        <v>1</v>
      </c>
    </row>
    <row r="71" spans="1:31" x14ac:dyDescent="0.3">
      <c r="A71" s="70" t="s">
        <v>24</v>
      </c>
      <c r="B71" s="71"/>
      <c r="C71" s="71"/>
      <c r="D71" s="71"/>
      <c r="E71" s="71"/>
      <c r="F71" s="71"/>
      <c r="G71" s="71"/>
      <c r="H71" s="71"/>
      <c r="I71" s="72"/>
      <c r="M71" s="75" t="s">
        <v>24</v>
      </c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2"/>
    </row>
    <row r="72" spans="1:31" ht="88.8" customHeight="1" x14ac:dyDescent="0.3">
      <c r="A72" s="3" t="s">
        <v>0</v>
      </c>
      <c r="B72" s="3" t="s">
        <v>1</v>
      </c>
      <c r="C72" s="3" t="s">
        <v>2</v>
      </c>
      <c r="D72" s="3" t="s">
        <v>3</v>
      </c>
      <c r="E72" s="3" t="s">
        <v>35</v>
      </c>
      <c r="F72" s="3" t="s">
        <v>4</v>
      </c>
      <c r="G72" s="3" t="s">
        <v>5</v>
      </c>
      <c r="H72" s="3" t="s">
        <v>6</v>
      </c>
      <c r="I72" s="3" t="s">
        <v>7</v>
      </c>
      <c r="M72" s="9" t="s">
        <v>0</v>
      </c>
      <c r="N72" s="9" t="s">
        <v>8</v>
      </c>
      <c r="O72" s="10" t="s">
        <v>9</v>
      </c>
      <c r="P72" s="10" t="s">
        <v>31</v>
      </c>
      <c r="Q72" s="10" t="s">
        <v>32</v>
      </c>
      <c r="R72" s="11" t="s">
        <v>10</v>
      </c>
      <c r="S72" s="11" t="s">
        <v>33</v>
      </c>
      <c r="T72" s="11" t="s">
        <v>34</v>
      </c>
      <c r="U72" s="20"/>
      <c r="V72" s="20"/>
      <c r="W72" s="20"/>
      <c r="X72" s="20"/>
      <c r="Y72" s="20"/>
      <c r="Z72" s="20"/>
    </row>
    <row r="73" spans="1:31" x14ac:dyDescent="0.3">
      <c r="A73" s="4" t="s">
        <v>20</v>
      </c>
      <c r="B73" s="4">
        <v>61000</v>
      </c>
      <c r="C73" s="4">
        <v>55000</v>
      </c>
      <c r="D73" s="4">
        <v>50400</v>
      </c>
      <c r="E73" s="4">
        <f>SUM(F73:I73)</f>
        <v>52300</v>
      </c>
      <c r="F73" s="4">
        <v>18300</v>
      </c>
      <c r="G73" s="4">
        <v>13100</v>
      </c>
      <c r="H73" s="4">
        <v>13100</v>
      </c>
      <c r="I73" s="4">
        <v>7800</v>
      </c>
      <c r="J73" s="24">
        <f t="shared" ref="J73:J76" si="49">E73/C73</f>
        <v>0.95090909090909093</v>
      </c>
      <c r="M73" s="12" t="s">
        <v>20</v>
      </c>
      <c r="N73" s="13">
        <v>55000</v>
      </c>
      <c r="O73" s="14">
        <v>53600</v>
      </c>
      <c r="P73" s="14">
        <v>9300</v>
      </c>
      <c r="Q73" s="14">
        <v>7100</v>
      </c>
      <c r="R73" s="15">
        <v>55000</v>
      </c>
      <c r="S73" s="15">
        <v>7300</v>
      </c>
      <c r="T73" s="15">
        <v>3900</v>
      </c>
      <c r="U73" s="20"/>
      <c r="V73" s="20"/>
      <c r="W73" s="20"/>
      <c r="X73" s="20"/>
      <c r="Y73" s="20"/>
      <c r="Z73" s="20"/>
      <c r="AA73" t="b">
        <f t="shared" ref="AA73:AA76" si="50">C73=N73</f>
        <v>1</v>
      </c>
      <c r="AB73" s="24">
        <f t="shared" ref="AB73:AB76" si="51">O73/N73</f>
        <v>0.97454545454545449</v>
      </c>
      <c r="AC73" t="b">
        <f t="shared" ref="AC73:AC76" si="52">P73*5+Q73=O73</f>
        <v>1</v>
      </c>
      <c r="AD73" t="b">
        <f t="shared" ref="AD73:AD76" si="53">R73=N73</f>
        <v>1</v>
      </c>
      <c r="AE73" t="b">
        <f t="shared" ref="AE73:AE76" si="54">S73*7+T73=R73</f>
        <v>1</v>
      </c>
    </row>
    <row r="74" spans="1:31" x14ac:dyDescent="0.3">
      <c r="A74" s="4" t="s">
        <v>21</v>
      </c>
      <c r="B74" s="4">
        <v>61000</v>
      </c>
      <c r="C74" s="4">
        <v>55000</v>
      </c>
      <c r="D74" s="4">
        <v>50400</v>
      </c>
      <c r="E74" s="4">
        <f t="shared" ref="E74:E76" si="55">SUM(F74:I74)</f>
        <v>52300</v>
      </c>
      <c r="F74" s="4">
        <v>18300</v>
      </c>
      <c r="G74" s="4">
        <v>13100</v>
      </c>
      <c r="H74" s="4">
        <v>13100</v>
      </c>
      <c r="I74" s="4">
        <v>7800</v>
      </c>
      <c r="J74" s="24">
        <f t="shared" si="49"/>
        <v>0.95090909090909093</v>
      </c>
      <c r="M74" s="16" t="s">
        <v>21</v>
      </c>
      <c r="N74" s="17">
        <v>55000</v>
      </c>
      <c r="O74" s="18">
        <v>53600</v>
      </c>
      <c r="P74" s="14">
        <v>9300</v>
      </c>
      <c r="Q74" s="14">
        <v>7100</v>
      </c>
      <c r="R74" s="19">
        <v>55000</v>
      </c>
      <c r="S74" s="15">
        <v>7300</v>
      </c>
      <c r="T74" s="15">
        <v>3900</v>
      </c>
      <c r="U74" s="20"/>
      <c r="V74" s="20"/>
      <c r="W74" s="20"/>
      <c r="X74" s="20"/>
      <c r="Y74" s="20"/>
      <c r="Z74" s="20"/>
      <c r="AA74" t="b">
        <f t="shared" si="50"/>
        <v>1</v>
      </c>
      <c r="AB74" s="24">
        <f t="shared" si="51"/>
        <v>0.97454545454545449</v>
      </c>
      <c r="AC74" t="b">
        <f t="shared" si="52"/>
        <v>1</v>
      </c>
      <c r="AD74" t="b">
        <f t="shared" si="53"/>
        <v>1</v>
      </c>
      <c r="AE74" t="b">
        <f t="shared" si="54"/>
        <v>1</v>
      </c>
    </row>
    <row r="75" spans="1:31" ht="28.8" customHeight="1" x14ac:dyDescent="0.3">
      <c r="A75" s="4" t="s">
        <v>14</v>
      </c>
      <c r="B75" s="4">
        <v>81000</v>
      </c>
      <c r="C75" s="4">
        <v>73000</v>
      </c>
      <c r="D75" s="4">
        <v>66900</v>
      </c>
      <c r="E75" s="4">
        <f t="shared" si="55"/>
        <v>69400</v>
      </c>
      <c r="F75" s="4">
        <v>24400</v>
      </c>
      <c r="G75" s="4">
        <v>17300</v>
      </c>
      <c r="H75" s="4">
        <v>17300</v>
      </c>
      <c r="I75" s="4">
        <v>10400</v>
      </c>
      <c r="J75" s="24">
        <f t="shared" si="49"/>
        <v>0.9506849315068493</v>
      </c>
      <c r="M75" s="12" t="s">
        <v>14</v>
      </c>
      <c r="N75" s="13">
        <v>73000</v>
      </c>
      <c r="O75" s="14">
        <v>71100</v>
      </c>
      <c r="P75" s="14">
        <v>12400</v>
      </c>
      <c r="Q75" s="14">
        <v>9100</v>
      </c>
      <c r="R75" s="15">
        <v>73000</v>
      </c>
      <c r="S75" s="15">
        <v>9700</v>
      </c>
      <c r="T75" s="15">
        <v>5100</v>
      </c>
      <c r="U75" s="20"/>
      <c r="V75" s="20"/>
      <c r="W75" s="20"/>
      <c r="X75" s="20"/>
      <c r="Y75" s="20"/>
      <c r="Z75" s="20"/>
      <c r="AA75" t="b">
        <f t="shared" si="50"/>
        <v>1</v>
      </c>
      <c r="AB75" s="24">
        <f t="shared" si="51"/>
        <v>0.97397260273972608</v>
      </c>
      <c r="AC75" t="b">
        <f t="shared" si="52"/>
        <v>1</v>
      </c>
      <c r="AD75" t="b">
        <f t="shared" si="53"/>
        <v>1</v>
      </c>
      <c r="AE75" t="b">
        <f t="shared" si="54"/>
        <v>1</v>
      </c>
    </row>
    <row r="76" spans="1:31" ht="28.8" customHeight="1" x14ac:dyDescent="0.3">
      <c r="A76" s="4" t="s">
        <v>15</v>
      </c>
      <c r="B76" s="4">
        <v>81000</v>
      </c>
      <c r="C76" s="4">
        <v>73000</v>
      </c>
      <c r="D76" s="4">
        <v>66900</v>
      </c>
      <c r="E76" s="4">
        <f t="shared" si="55"/>
        <v>69400</v>
      </c>
      <c r="F76" s="4">
        <v>24400</v>
      </c>
      <c r="G76" s="4">
        <v>17300</v>
      </c>
      <c r="H76" s="4">
        <v>17300</v>
      </c>
      <c r="I76" s="4">
        <v>10400</v>
      </c>
      <c r="J76" s="24">
        <f t="shared" si="49"/>
        <v>0.9506849315068493</v>
      </c>
      <c r="M76" s="16" t="s">
        <v>15</v>
      </c>
      <c r="N76" s="17">
        <v>73000</v>
      </c>
      <c r="O76" s="18">
        <v>71100</v>
      </c>
      <c r="P76" s="14">
        <v>12400</v>
      </c>
      <c r="Q76" s="14">
        <v>9100</v>
      </c>
      <c r="R76" s="19">
        <v>73000</v>
      </c>
      <c r="S76" s="15">
        <v>9700</v>
      </c>
      <c r="T76" s="15">
        <v>5100</v>
      </c>
      <c r="U76" s="20"/>
      <c r="V76" s="20"/>
      <c r="W76" s="20"/>
      <c r="X76" s="20"/>
      <c r="Y76" s="20"/>
      <c r="Z76" s="20"/>
      <c r="AA76" t="b">
        <f t="shared" si="50"/>
        <v>1</v>
      </c>
      <c r="AB76" s="24">
        <f t="shared" si="51"/>
        <v>0.97397260273972608</v>
      </c>
      <c r="AC76" t="b">
        <f t="shared" si="52"/>
        <v>1</v>
      </c>
      <c r="AD76" t="b">
        <f t="shared" si="53"/>
        <v>1</v>
      </c>
      <c r="AE76" t="b">
        <f t="shared" si="54"/>
        <v>1</v>
      </c>
    </row>
    <row r="81" spans="1:31" x14ac:dyDescent="0.3">
      <c r="A81" s="76" t="s">
        <v>25</v>
      </c>
      <c r="B81" s="71"/>
      <c r="C81" s="71"/>
      <c r="D81" s="71"/>
      <c r="E81" s="71"/>
      <c r="F81" s="71"/>
      <c r="G81" s="71"/>
      <c r="H81" s="71"/>
      <c r="I81" s="72"/>
      <c r="M81" s="75" t="s">
        <v>25</v>
      </c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2"/>
    </row>
    <row r="82" spans="1:31" ht="88.2" customHeight="1" x14ac:dyDescent="0.3">
      <c r="A82" s="1" t="s">
        <v>0</v>
      </c>
      <c r="B82" s="1" t="s">
        <v>1</v>
      </c>
      <c r="C82" s="1" t="s">
        <v>2</v>
      </c>
      <c r="D82" s="1" t="s">
        <v>3</v>
      </c>
      <c r="E82" s="1" t="s">
        <v>35</v>
      </c>
      <c r="F82" s="1" t="s">
        <v>4</v>
      </c>
      <c r="G82" s="1" t="s">
        <v>5</v>
      </c>
      <c r="H82" s="1" t="s">
        <v>6</v>
      </c>
      <c r="I82" s="1" t="s">
        <v>7</v>
      </c>
      <c r="M82" s="9" t="s">
        <v>0</v>
      </c>
      <c r="N82" s="9" t="s">
        <v>8</v>
      </c>
      <c r="O82" s="10" t="s">
        <v>9</v>
      </c>
      <c r="P82" s="10" t="s">
        <v>31</v>
      </c>
      <c r="Q82" s="10" t="s">
        <v>32</v>
      </c>
      <c r="R82" s="11" t="s">
        <v>10</v>
      </c>
      <c r="S82" s="11" t="s">
        <v>33</v>
      </c>
      <c r="T82" s="11" t="s">
        <v>34</v>
      </c>
      <c r="U82" s="20"/>
      <c r="V82" s="20"/>
      <c r="W82" s="20"/>
      <c r="X82" s="20"/>
      <c r="Y82" s="20"/>
      <c r="Z82" s="20"/>
    </row>
    <row r="83" spans="1:31" x14ac:dyDescent="0.3">
      <c r="A83" s="5" t="s">
        <v>11</v>
      </c>
      <c r="B83" s="5">
        <v>21000</v>
      </c>
      <c r="C83" s="5">
        <v>19000</v>
      </c>
      <c r="D83" s="5">
        <v>17400</v>
      </c>
      <c r="E83" s="5">
        <f>SUM(F83:I83)</f>
        <v>18100</v>
      </c>
      <c r="F83" s="5">
        <v>6400</v>
      </c>
      <c r="G83" s="5">
        <v>4500</v>
      </c>
      <c r="H83" s="5">
        <v>4500</v>
      </c>
      <c r="I83" s="5">
        <v>2700</v>
      </c>
      <c r="J83" s="24">
        <f t="shared" ref="J83:J90" si="56">E83/C83</f>
        <v>0.95263157894736838</v>
      </c>
      <c r="M83" s="12" t="s">
        <v>11</v>
      </c>
      <c r="N83" s="13">
        <v>19000</v>
      </c>
      <c r="O83" s="14">
        <v>18600</v>
      </c>
      <c r="P83" s="14">
        <v>3200</v>
      </c>
      <c r="Q83" s="14">
        <v>2600</v>
      </c>
      <c r="R83" s="15">
        <v>19000</v>
      </c>
      <c r="S83" s="15">
        <v>2500</v>
      </c>
      <c r="T83" s="15">
        <v>1500</v>
      </c>
      <c r="U83" s="20"/>
      <c r="V83" s="20"/>
      <c r="W83" s="20"/>
      <c r="X83" s="20"/>
      <c r="Y83" s="20"/>
      <c r="Z83" s="20"/>
      <c r="AA83" t="b">
        <f t="shared" ref="AA83:AA90" si="57">C83=N83</f>
        <v>1</v>
      </c>
      <c r="AB83" s="24">
        <f t="shared" ref="AB83:AB90" si="58">O83/N83</f>
        <v>0.97894736842105268</v>
      </c>
      <c r="AC83" t="b">
        <f t="shared" ref="AC83:AC90" si="59">P83*5+Q83=O83</f>
        <v>1</v>
      </c>
      <c r="AD83" t="b">
        <f t="shared" ref="AD83:AD90" si="60">R83=N83</f>
        <v>1</v>
      </c>
      <c r="AE83" t="b">
        <f t="shared" ref="AE83:AE90" si="61">S83*7+T83=R83</f>
        <v>1</v>
      </c>
    </row>
    <row r="84" spans="1:31" x14ac:dyDescent="0.3">
      <c r="A84" s="5" t="s">
        <v>26</v>
      </c>
      <c r="B84" s="5">
        <v>27750</v>
      </c>
      <c r="C84" s="5">
        <v>25000</v>
      </c>
      <c r="D84" s="5">
        <v>22900</v>
      </c>
      <c r="E84" s="5">
        <f t="shared" ref="E84:E90" si="62">SUM(F84:I84)</f>
        <v>23800</v>
      </c>
      <c r="F84" s="5">
        <v>8400</v>
      </c>
      <c r="G84" s="5">
        <v>5900</v>
      </c>
      <c r="H84" s="5">
        <v>5900</v>
      </c>
      <c r="I84" s="5">
        <v>3600</v>
      </c>
      <c r="J84" s="24">
        <f t="shared" si="56"/>
        <v>0.95199999999999996</v>
      </c>
      <c r="M84" s="16" t="s">
        <v>26</v>
      </c>
      <c r="N84" s="17">
        <v>25000</v>
      </c>
      <c r="O84" s="18">
        <v>24400</v>
      </c>
      <c r="P84" s="14">
        <v>4200</v>
      </c>
      <c r="Q84" s="14">
        <v>3400</v>
      </c>
      <c r="R84" s="19">
        <v>25000</v>
      </c>
      <c r="S84" s="15">
        <v>3300</v>
      </c>
      <c r="T84" s="15">
        <v>1900</v>
      </c>
      <c r="U84" s="20"/>
      <c r="V84" s="20"/>
      <c r="W84" s="20"/>
      <c r="X84" s="20"/>
      <c r="Y84" s="20"/>
      <c r="Z84" s="20"/>
      <c r="AA84" t="b">
        <f t="shared" si="57"/>
        <v>1</v>
      </c>
      <c r="AB84" s="24">
        <f t="shared" si="58"/>
        <v>0.97599999999999998</v>
      </c>
      <c r="AC84" t="b">
        <f t="shared" si="59"/>
        <v>1</v>
      </c>
      <c r="AD84" t="b">
        <f t="shared" si="60"/>
        <v>1</v>
      </c>
      <c r="AE84" t="b">
        <f t="shared" si="61"/>
        <v>1</v>
      </c>
    </row>
    <row r="85" spans="1:31" x14ac:dyDescent="0.3">
      <c r="A85" s="5" t="s">
        <v>12</v>
      </c>
      <c r="B85" s="5">
        <v>27750</v>
      </c>
      <c r="C85" s="5">
        <v>25000</v>
      </c>
      <c r="D85" s="5">
        <v>22900</v>
      </c>
      <c r="E85" s="5">
        <f t="shared" si="62"/>
        <v>23800</v>
      </c>
      <c r="F85" s="5">
        <v>8400</v>
      </c>
      <c r="G85" s="5">
        <v>5900</v>
      </c>
      <c r="H85" s="5">
        <v>5900</v>
      </c>
      <c r="I85" s="5">
        <v>3600</v>
      </c>
      <c r="J85" s="24">
        <f t="shared" si="56"/>
        <v>0.95199999999999996</v>
      </c>
      <c r="M85" s="12" t="s">
        <v>12</v>
      </c>
      <c r="N85" s="13">
        <v>25000</v>
      </c>
      <c r="O85" s="18">
        <v>24400</v>
      </c>
      <c r="P85" s="14">
        <v>4200</v>
      </c>
      <c r="Q85" s="14">
        <v>3400</v>
      </c>
      <c r="R85" s="15">
        <v>25000</v>
      </c>
      <c r="S85" s="15">
        <v>3300</v>
      </c>
      <c r="T85" s="15">
        <v>1900</v>
      </c>
      <c r="U85" s="20"/>
      <c r="V85" s="20"/>
      <c r="W85" s="20"/>
      <c r="X85" s="20"/>
      <c r="Y85" s="20"/>
      <c r="Z85" s="20"/>
      <c r="AA85" t="b">
        <f t="shared" si="57"/>
        <v>1</v>
      </c>
      <c r="AB85" s="24">
        <f t="shared" si="58"/>
        <v>0.97599999999999998</v>
      </c>
      <c r="AC85" t="b">
        <f t="shared" si="59"/>
        <v>1</v>
      </c>
      <c r="AD85" t="b">
        <f t="shared" si="60"/>
        <v>1</v>
      </c>
      <c r="AE85" t="b">
        <f t="shared" si="61"/>
        <v>1</v>
      </c>
    </row>
    <row r="86" spans="1:31" x14ac:dyDescent="0.3">
      <c r="A86" s="5" t="s">
        <v>20</v>
      </c>
      <c r="B86" s="5">
        <v>34500</v>
      </c>
      <c r="C86" s="5">
        <v>31000</v>
      </c>
      <c r="D86" s="5">
        <v>28400</v>
      </c>
      <c r="E86" s="5">
        <f t="shared" si="62"/>
        <v>29500</v>
      </c>
      <c r="F86" s="5">
        <v>10300</v>
      </c>
      <c r="G86" s="5">
        <v>7400</v>
      </c>
      <c r="H86" s="5">
        <v>7400</v>
      </c>
      <c r="I86" s="5">
        <v>4400</v>
      </c>
      <c r="J86" s="24">
        <f t="shared" si="56"/>
        <v>0.95161290322580649</v>
      </c>
      <c r="M86" s="16" t="s">
        <v>20</v>
      </c>
      <c r="N86" s="17">
        <v>31000</v>
      </c>
      <c r="O86" s="18">
        <v>30200</v>
      </c>
      <c r="P86" s="14">
        <v>5300</v>
      </c>
      <c r="Q86" s="14">
        <v>3700</v>
      </c>
      <c r="R86" s="19">
        <v>31000</v>
      </c>
      <c r="S86" s="15">
        <v>4100</v>
      </c>
      <c r="T86" s="15">
        <v>2300</v>
      </c>
      <c r="U86" s="20"/>
      <c r="V86" s="20"/>
      <c r="W86" s="20"/>
      <c r="X86" s="20"/>
      <c r="Y86" s="20"/>
      <c r="Z86" s="20"/>
      <c r="AA86" t="b">
        <f t="shared" si="57"/>
        <v>1</v>
      </c>
      <c r="AB86" s="24">
        <f t="shared" si="58"/>
        <v>0.97419354838709682</v>
      </c>
      <c r="AC86" t="b">
        <f t="shared" si="59"/>
        <v>1</v>
      </c>
      <c r="AD86" t="b">
        <f t="shared" si="60"/>
        <v>1</v>
      </c>
      <c r="AE86" t="b">
        <f t="shared" si="61"/>
        <v>1</v>
      </c>
    </row>
    <row r="87" spans="1:31" x14ac:dyDescent="0.3">
      <c r="A87" s="5" t="s">
        <v>13</v>
      </c>
      <c r="B87" s="5">
        <v>27750</v>
      </c>
      <c r="C87" s="5">
        <v>25000</v>
      </c>
      <c r="D87" s="5">
        <v>22900</v>
      </c>
      <c r="E87" s="5">
        <f t="shared" si="62"/>
        <v>23800</v>
      </c>
      <c r="F87" s="5">
        <v>8400</v>
      </c>
      <c r="G87" s="5">
        <v>5900</v>
      </c>
      <c r="H87" s="5">
        <v>5900</v>
      </c>
      <c r="I87" s="5">
        <v>3600</v>
      </c>
      <c r="J87" s="24">
        <f t="shared" si="56"/>
        <v>0.95199999999999996</v>
      </c>
      <c r="M87" s="12" t="s">
        <v>13</v>
      </c>
      <c r="N87" s="13">
        <v>25000</v>
      </c>
      <c r="O87" s="18">
        <v>24400</v>
      </c>
      <c r="P87" s="14">
        <v>4200</v>
      </c>
      <c r="Q87" s="14">
        <v>3400</v>
      </c>
      <c r="R87" s="15">
        <v>25000</v>
      </c>
      <c r="S87" s="15">
        <v>3300</v>
      </c>
      <c r="T87" s="15">
        <v>1900</v>
      </c>
      <c r="U87" s="20"/>
      <c r="V87" s="20"/>
      <c r="W87" s="20"/>
      <c r="X87" s="20"/>
      <c r="Y87" s="20"/>
      <c r="Z87" s="20"/>
      <c r="AA87" t="b">
        <f t="shared" si="57"/>
        <v>1</v>
      </c>
      <c r="AB87" s="24">
        <f t="shared" si="58"/>
        <v>0.97599999999999998</v>
      </c>
      <c r="AC87" t="b">
        <f t="shared" si="59"/>
        <v>1</v>
      </c>
      <c r="AD87" t="b">
        <f t="shared" si="60"/>
        <v>1</v>
      </c>
      <c r="AE87" t="b">
        <f t="shared" si="61"/>
        <v>1</v>
      </c>
    </row>
    <row r="88" spans="1:31" x14ac:dyDescent="0.3">
      <c r="A88" s="5" t="s">
        <v>21</v>
      </c>
      <c r="B88" s="5">
        <v>34500</v>
      </c>
      <c r="C88" s="5">
        <v>31000</v>
      </c>
      <c r="D88" s="5">
        <v>28400</v>
      </c>
      <c r="E88" s="5">
        <f t="shared" si="62"/>
        <v>29500</v>
      </c>
      <c r="F88" s="5">
        <v>10300</v>
      </c>
      <c r="G88" s="5">
        <v>7400</v>
      </c>
      <c r="H88" s="5">
        <v>7400</v>
      </c>
      <c r="I88" s="5">
        <v>4400</v>
      </c>
      <c r="J88" s="24">
        <f t="shared" si="56"/>
        <v>0.95161290322580649</v>
      </c>
      <c r="M88" s="16" t="s">
        <v>21</v>
      </c>
      <c r="N88" s="17">
        <v>31000</v>
      </c>
      <c r="O88" s="18">
        <v>30200</v>
      </c>
      <c r="P88" s="14">
        <v>5300</v>
      </c>
      <c r="Q88" s="14">
        <v>3700</v>
      </c>
      <c r="R88" s="19">
        <v>31000</v>
      </c>
      <c r="S88" s="15">
        <v>4100</v>
      </c>
      <c r="T88" s="15">
        <v>2300</v>
      </c>
      <c r="U88" s="20"/>
      <c r="V88" s="20"/>
      <c r="W88" s="20"/>
      <c r="X88" s="20"/>
      <c r="Y88" s="20"/>
      <c r="Z88" s="20"/>
      <c r="AA88" t="b">
        <f t="shared" si="57"/>
        <v>1</v>
      </c>
      <c r="AB88" s="24">
        <f t="shared" si="58"/>
        <v>0.97419354838709682</v>
      </c>
      <c r="AC88" t="b">
        <f t="shared" si="59"/>
        <v>1</v>
      </c>
      <c r="AD88" t="b">
        <f t="shared" si="60"/>
        <v>1</v>
      </c>
      <c r="AE88" t="b">
        <f t="shared" si="61"/>
        <v>1</v>
      </c>
    </row>
    <row r="89" spans="1:31" ht="26.4" x14ac:dyDescent="0.3">
      <c r="A89" s="5" t="s">
        <v>27</v>
      </c>
      <c r="B89" s="5">
        <v>41000</v>
      </c>
      <c r="C89" s="5">
        <v>37000</v>
      </c>
      <c r="D89" s="5">
        <v>33900</v>
      </c>
      <c r="E89" s="5">
        <f t="shared" si="62"/>
        <v>35200</v>
      </c>
      <c r="F89" s="5">
        <v>12300</v>
      </c>
      <c r="G89" s="5">
        <v>8800</v>
      </c>
      <c r="H89" s="5">
        <v>8800</v>
      </c>
      <c r="I89" s="5">
        <v>5300</v>
      </c>
      <c r="J89" s="24">
        <f t="shared" si="56"/>
        <v>0.9513513513513514</v>
      </c>
      <c r="M89" s="12" t="s">
        <v>14</v>
      </c>
      <c r="N89" s="13">
        <v>37000</v>
      </c>
      <c r="O89" s="14">
        <v>36100</v>
      </c>
      <c r="P89" s="14">
        <v>6300</v>
      </c>
      <c r="Q89" s="14">
        <v>4600</v>
      </c>
      <c r="R89" s="15">
        <v>37000</v>
      </c>
      <c r="S89" s="15">
        <v>4900</v>
      </c>
      <c r="T89" s="15">
        <v>2700</v>
      </c>
      <c r="U89" s="20"/>
      <c r="V89" s="20"/>
      <c r="W89" s="20"/>
      <c r="X89" s="20"/>
      <c r="Y89" s="20"/>
      <c r="Z89" s="20"/>
      <c r="AA89" t="b">
        <f t="shared" si="57"/>
        <v>1</v>
      </c>
      <c r="AB89" s="24">
        <f t="shared" si="58"/>
        <v>0.9756756756756757</v>
      </c>
      <c r="AC89" t="b">
        <f t="shared" si="59"/>
        <v>1</v>
      </c>
      <c r="AD89" t="b">
        <f t="shared" si="60"/>
        <v>1</v>
      </c>
      <c r="AE89" t="b">
        <f t="shared" si="61"/>
        <v>1</v>
      </c>
    </row>
    <row r="90" spans="1:31" ht="26.55" customHeight="1" x14ac:dyDescent="0.3">
      <c r="A90" s="5" t="s">
        <v>15</v>
      </c>
      <c r="B90" s="5">
        <v>41000</v>
      </c>
      <c r="C90" s="5">
        <v>37000</v>
      </c>
      <c r="D90" s="5">
        <v>33900</v>
      </c>
      <c r="E90" s="5">
        <f t="shared" si="62"/>
        <v>35200</v>
      </c>
      <c r="F90" s="5">
        <v>12300</v>
      </c>
      <c r="G90" s="5">
        <v>8800</v>
      </c>
      <c r="H90" s="5">
        <v>8800</v>
      </c>
      <c r="I90" s="5">
        <v>5300</v>
      </c>
      <c r="J90" s="24">
        <f t="shared" si="56"/>
        <v>0.9513513513513514</v>
      </c>
      <c r="M90" s="16" t="s">
        <v>15</v>
      </c>
      <c r="N90" s="17">
        <v>37000</v>
      </c>
      <c r="O90" s="14">
        <v>36100</v>
      </c>
      <c r="P90" s="14">
        <v>6300</v>
      </c>
      <c r="Q90" s="14">
        <v>4600</v>
      </c>
      <c r="R90" s="19">
        <v>37000</v>
      </c>
      <c r="S90" s="15">
        <v>4900</v>
      </c>
      <c r="T90" s="15">
        <v>2700</v>
      </c>
      <c r="U90" s="20"/>
      <c r="V90" s="20"/>
      <c r="W90" s="20"/>
      <c r="X90" s="20"/>
      <c r="Y90" s="20"/>
      <c r="Z90" s="20"/>
      <c r="AA90" t="b">
        <f t="shared" si="57"/>
        <v>1</v>
      </c>
      <c r="AB90" s="24">
        <f t="shared" si="58"/>
        <v>0.9756756756756757</v>
      </c>
      <c r="AC90" t="b">
        <f t="shared" si="59"/>
        <v>1</v>
      </c>
      <c r="AD90" t="b">
        <f t="shared" si="60"/>
        <v>1</v>
      </c>
      <c r="AE90" t="b">
        <f t="shared" si="61"/>
        <v>1</v>
      </c>
    </row>
    <row r="91" spans="1:31" x14ac:dyDescent="0.3">
      <c r="A91" s="6"/>
      <c r="B91" s="6"/>
      <c r="C91" s="6"/>
      <c r="D91" s="6"/>
      <c r="E91" s="6"/>
      <c r="F91" s="6"/>
      <c r="G91" s="6"/>
      <c r="H91" s="6"/>
      <c r="I91" s="6"/>
    </row>
    <row r="92" spans="1:31" x14ac:dyDescent="0.3">
      <c r="A92" s="6"/>
      <c r="B92" s="6"/>
      <c r="C92" s="6"/>
      <c r="D92" s="6"/>
      <c r="E92" s="6"/>
      <c r="F92" s="6"/>
      <c r="G92" s="6"/>
      <c r="H92" s="6"/>
      <c r="I92" s="6"/>
    </row>
    <row r="93" spans="1:31" x14ac:dyDescent="0.3">
      <c r="A93" s="70" t="s">
        <v>28</v>
      </c>
      <c r="B93" s="71"/>
      <c r="C93" s="71"/>
      <c r="D93" s="71"/>
      <c r="E93" s="71"/>
      <c r="F93" s="71"/>
      <c r="G93" s="71"/>
      <c r="H93" s="71"/>
      <c r="I93" s="72"/>
      <c r="M93" s="75" t="s">
        <v>28</v>
      </c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2"/>
    </row>
    <row r="94" spans="1:31" ht="92.55" customHeight="1" x14ac:dyDescent="0.3">
      <c r="A94" s="3" t="s">
        <v>0</v>
      </c>
      <c r="B94" s="3" t="s">
        <v>1</v>
      </c>
      <c r="C94" s="3" t="s">
        <v>2</v>
      </c>
      <c r="D94" s="3" t="s">
        <v>3</v>
      </c>
      <c r="E94" s="3" t="s">
        <v>35</v>
      </c>
      <c r="F94" s="3" t="s">
        <v>4</v>
      </c>
      <c r="G94" s="3" t="s">
        <v>5</v>
      </c>
      <c r="H94" s="3" t="s">
        <v>6</v>
      </c>
      <c r="I94" s="3" t="s">
        <v>7</v>
      </c>
      <c r="M94" s="9" t="s">
        <v>0</v>
      </c>
      <c r="N94" s="9" t="s">
        <v>8</v>
      </c>
      <c r="O94" s="10" t="s">
        <v>9</v>
      </c>
      <c r="P94" s="10" t="s">
        <v>31</v>
      </c>
      <c r="Q94" s="10" t="s">
        <v>32</v>
      </c>
      <c r="R94" s="11" t="s">
        <v>10</v>
      </c>
      <c r="S94" s="11" t="s">
        <v>33</v>
      </c>
      <c r="T94" s="11" t="s">
        <v>34</v>
      </c>
      <c r="U94" s="20"/>
      <c r="V94" s="20"/>
      <c r="W94" s="20"/>
      <c r="X94" s="20"/>
      <c r="Y94" s="20"/>
      <c r="Z94" s="20"/>
    </row>
    <row r="95" spans="1:31" x14ac:dyDescent="0.3">
      <c r="A95" s="7" t="s">
        <v>11</v>
      </c>
      <c r="B95" s="8">
        <v>34500</v>
      </c>
      <c r="C95" s="8">
        <v>31000</v>
      </c>
      <c r="D95" s="8">
        <v>28400</v>
      </c>
      <c r="E95" s="8">
        <f>SUM(F95:I95)</f>
        <v>29400</v>
      </c>
      <c r="F95" s="8">
        <v>10400</v>
      </c>
      <c r="G95" s="8">
        <v>7300</v>
      </c>
      <c r="H95" s="8">
        <v>7300</v>
      </c>
      <c r="I95" s="8">
        <v>4400</v>
      </c>
      <c r="J95" s="24">
        <f t="shared" ref="J95:J102" si="63">E95/C95</f>
        <v>0.94838709677419353</v>
      </c>
      <c r="M95" s="12" t="s">
        <v>11</v>
      </c>
      <c r="N95" s="13">
        <v>31000</v>
      </c>
      <c r="O95" s="14">
        <v>30200</v>
      </c>
      <c r="P95" s="14">
        <v>5300</v>
      </c>
      <c r="Q95" s="14">
        <v>3700</v>
      </c>
      <c r="R95" s="15">
        <v>31000</v>
      </c>
      <c r="S95" s="15">
        <v>4100</v>
      </c>
      <c r="T95" s="15">
        <v>2300</v>
      </c>
      <c r="U95" s="20"/>
      <c r="V95" s="20"/>
      <c r="W95" s="20"/>
      <c r="X95" s="20"/>
      <c r="Y95" s="20"/>
      <c r="Z95" s="20"/>
      <c r="AA95" t="b">
        <f t="shared" ref="AA95:AA102" si="64">C95=N95</f>
        <v>1</v>
      </c>
      <c r="AB95" s="24">
        <f t="shared" ref="AB95:AB102" si="65">O95/N95</f>
        <v>0.97419354838709682</v>
      </c>
      <c r="AC95" t="b">
        <f t="shared" ref="AC95:AC102" si="66">P95*5+Q95=O95</f>
        <v>1</v>
      </c>
      <c r="AD95" t="b">
        <f t="shared" ref="AD95:AD102" si="67">R95=N95</f>
        <v>1</v>
      </c>
      <c r="AE95" t="b">
        <f t="shared" ref="AE95:AE102" si="68">S95*7+T95=R95</f>
        <v>1</v>
      </c>
    </row>
    <row r="96" spans="1:31" x14ac:dyDescent="0.3">
      <c r="A96" s="7" t="s">
        <v>26</v>
      </c>
      <c r="B96" s="8">
        <v>41000</v>
      </c>
      <c r="C96" s="8">
        <v>37000</v>
      </c>
      <c r="D96" s="8">
        <v>33900</v>
      </c>
      <c r="E96" s="8">
        <f t="shared" ref="E96:E102" si="69">SUM(F96:I96)</f>
        <v>35100</v>
      </c>
      <c r="F96" s="8">
        <v>12400</v>
      </c>
      <c r="G96" s="8">
        <v>8700</v>
      </c>
      <c r="H96" s="8">
        <v>8700</v>
      </c>
      <c r="I96" s="8">
        <v>5300</v>
      </c>
      <c r="J96" s="24">
        <f t="shared" si="63"/>
        <v>0.94864864864864862</v>
      </c>
      <c r="M96" s="16" t="s">
        <v>26</v>
      </c>
      <c r="N96" s="17">
        <v>37000</v>
      </c>
      <c r="O96" s="18">
        <v>36100</v>
      </c>
      <c r="P96" s="14">
        <v>6300</v>
      </c>
      <c r="Q96" s="14">
        <v>4600</v>
      </c>
      <c r="R96" s="19">
        <v>37000</v>
      </c>
      <c r="S96" s="15">
        <v>4900</v>
      </c>
      <c r="T96" s="15">
        <v>2700</v>
      </c>
      <c r="U96" s="20"/>
      <c r="V96" s="20"/>
      <c r="W96" s="20"/>
      <c r="X96" s="20"/>
      <c r="Y96" s="20"/>
      <c r="Z96" s="20"/>
      <c r="AA96" t="b">
        <f t="shared" si="64"/>
        <v>1</v>
      </c>
      <c r="AB96" s="24">
        <f t="shared" si="65"/>
        <v>0.9756756756756757</v>
      </c>
      <c r="AC96" t="b">
        <f t="shared" si="66"/>
        <v>1</v>
      </c>
      <c r="AD96" t="b">
        <f t="shared" si="67"/>
        <v>1</v>
      </c>
      <c r="AE96" t="b">
        <f t="shared" si="68"/>
        <v>1</v>
      </c>
    </row>
    <row r="97" spans="1:31" x14ac:dyDescent="0.3">
      <c r="A97" s="7" t="s">
        <v>12</v>
      </c>
      <c r="B97" s="8">
        <v>41000</v>
      </c>
      <c r="C97" s="8">
        <v>37000</v>
      </c>
      <c r="D97" s="8">
        <v>33900</v>
      </c>
      <c r="E97" s="8">
        <f t="shared" si="69"/>
        <v>35100</v>
      </c>
      <c r="F97" s="8">
        <v>12400</v>
      </c>
      <c r="G97" s="8">
        <v>8700</v>
      </c>
      <c r="H97" s="8">
        <v>8700</v>
      </c>
      <c r="I97" s="8">
        <v>5300</v>
      </c>
      <c r="J97" s="24">
        <f t="shared" si="63"/>
        <v>0.94864864864864862</v>
      </c>
      <c r="M97" s="12" t="s">
        <v>12</v>
      </c>
      <c r="N97" s="13">
        <v>37000</v>
      </c>
      <c r="O97" s="18">
        <v>36100</v>
      </c>
      <c r="P97" s="14">
        <v>6300</v>
      </c>
      <c r="Q97" s="14">
        <v>4600</v>
      </c>
      <c r="R97" s="15">
        <v>37000</v>
      </c>
      <c r="S97" s="15">
        <v>4900</v>
      </c>
      <c r="T97" s="15">
        <v>2700</v>
      </c>
      <c r="U97" s="20"/>
      <c r="V97" s="20"/>
      <c r="W97" s="20"/>
      <c r="X97" s="20"/>
      <c r="Y97" s="20"/>
      <c r="Z97" s="20"/>
      <c r="AA97" t="b">
        <f t="shared" si="64"/>
        <v>1</v>
      </c>
      <c r="AB97" s="24">
        <f t="shared" si="65"/>
        <v>0.9756756756756757</v>
      </c>
      <c r="AC97" t="b">
        <f t="shared" si="66"/>
        <v>1</v>
      </c>
      <c r="AD97" t="b">
        <f t="shared" si="67"/>
        <v>1</v>
      </c>
      <c r="AE97" t="b">
        <f t="shared" si="68"/>
        <v>1</v>
      </c>
    </row>
    <row r="98" spans="1:31" x14ac:dyDescent="0.3">
      <c r="A98" s="7" t="s">
        <v>20</v>
      </c>
      <c r="B98" s="8">
        <v>47750</v>
      </c>
      <c r="C98" s="8">
        <v>43000</v>
      </c>
      <c r="D98" s="8">
        <v>39400</v>
      </c>
      <c r="E98" s="8">
        <f t="shared" si="69"/>
        <v>40900</v>
      </c>
      <c r="F98" s="8">
        <v>14400</v>
      </c>
      <c r="G98" s="8">
        <v>10200</v>
      </c>
      <c r="H98" s="8">
        <v>10200</v>
      </c>
      <c r="I98" s="8">
        <v>6100</v>
      </c>
      <c r="J98" s="24">
        <f t="shared" si="63"/>
        <v>0.9511627906976744</v>
      </c>
      <c r="M98" s="16" t="s">
        <v>20</v>
      </c>
      <c r="N98" s="17">
        <v>43000</v>
      </c>
      <c r="O98" s="18">
        <v>41900</v>
      </c>
      <c r="P98" s="14">
        <v>7300</v>
      </c>
      <c r="Q98" s="14">
        <v>5400</v>
      </c>
      <c r="R98" s="19">
        <v>43000</v>
      </c>
      <c r="S98" s="15">
        <v>5700</v>
      </c>
      <c r="T98" s="15">
        <v>3100</v>
      </c>
      <c r="U98" s="20"/>
      <c r="V98" s="20"/>
      <c r="W98" s="20"/>
      <c r="X98" s="20"/>
      <c r="Y98" s="20"/>
      <c r="Z98" s="20"/>
      <c r="AA98" t="b">
        <f t="shared" si="64"/>
        <v>1</v>
      </c>
      <c r="AB98" s="24">
        <f t="shared" si="65"/>
        <v>0.97441860465116281</v>
      </c>
      <c r="AC98" t="b">
        <f t="shared" si="66"/>
        <v>1</v>
      </c>
      <c r="AD98" t="b">
        <f t="shared" si="67"/>
        <v>1</v>
      </c>
      <c r="AE98" t="b">
        <f t="shared" si="68"/>
        <v>1</v>
      </c>
    </row>
    <row r="99" spans="1:31" x14ac:dyDescent="0.3">
      <c r="A99" s="7" t="s">
        <v>13</v>
      </c>
      <c r="B99" s="8">
        <v>41000</v>
      </c>
      <c r="C99" s="8">
        <v>37000</v>
      </c>
      <c r="D99" s="8">
        <v>33900</v>
      </c>
      <c r="E99" s="8">
        <f t="shared" si="69"/>
        <v>35100</v>
      </c>
      <c r="F99" s="8">
        <v>12400</v>
      </c>
      <c r="G99" s="8">
        <v>8700</v>
      </c>
      <c r="H99" s="8">
        <v>8700</v>
      </c>
      <c r="I99" s="8">
        <v>5300</v>
      </c>
      <c r="J99" s="24">
        <f t="shared" si="63"/>
        <v>0.94864864864864862</v>
      </c>
      <c r="M99" s="12" t="s">
        <v>13</v>
      </c>
      <c r="N99" s="13">
        <v>37000</v>
      </c>
      <c r="O99" s="18">
        <v>36100</v>
      </c>
      <c r="P99" s="14">
        <v>6300</v>
      </c>
      <c r="Q99" s="14">
        <v>4600</v>
      </c>
      <c r="R99" s="15">
        <v>37000</v>
      </c>
      <c r="S99" s="15">
        <v>4900</v>
      </c>
      <c r="T99" s="15">
        <v>2700</v>
      </c>
      <c r="U99" s="20"/>
      <c r="V99" s="20"/>
      <c r="W99" s="20"/>
      <c r="X99" s="20"/>
      <c r="Y99" s="20"/>
      <c r="Z99" s="20"/>
      <c r="AA99" t="b">
        <f t="shared" si="64"/>
        <v>1</v>
      </c>
      <c r="AB99" s="24">
        <f t="shared" si="65"/>
        <v>0.9756756756756757</v>
      </c>
      <c r="AC99" t="b">
        <f t="shared" si="66"/>
        <v>1</v>
      </c>
      <c r="AD99" t="b">
        <f t="shared" si="67"/>
        <v>1</v>
      </c>
      <c r="AE99" t="b">
        <f t="shared" si="68"/>
        <v>1</v>
      </c>
    </row>
    <row r="100" spans="1:31" x14ac:dyDescent="0.3">
      <c r="A100" s="7" t="s">
        <v>21</v>
      </c>
      <c r="B100" s="8">
        <v>47750</v>
      </c>
      <c r="C100" s="8">
        <v>43000</v>
      </c>
      <c r="D100" s="8">
        <v>39400</v>
      </c>
      <c r="E100" s="8">
        <f t="shared" si="69"/>
        <v>40900</v>
      </c>
      <c r="F100" s="8">
        <v>14400</v>
      </c>
      <c r="G100" s="8">
        <v>10200</v>
      </c>
      <c r="H100" s="8">
        <v>10200</v>
      </c>
      <c r="I100" s="8">
        <v>6100</v>
      </c>
      <c r="J100" s="24">
        <f t="shared" si="63"/>
        <v>0.9511627906976744</v>
      </c>
      <c r="M100" s="16" t="s">
        <v>21</v>
      </c>
      <c r="N100" s="17">
        <v>43000</v>
      </c>
      <c r="O100" s="18">
        <v>41900</v>
      </c>
      <c r="P100" s="14">
        <v>7300</v>
      </c>
      <c r="Q100" s="14">
        <v>5400</v>
      </c>
      <c r="R100" s="19">
        <v>43000</v>
      </c>
      <c r="S100" s="15">
        <v>5700</v>
      </c>
      <c r="T100" s="15">
        <v>3100</v>
      </c>
      <c r="U100" s="20"/>
      <c r="V100" s="20"/>
      <c r="W100" s="20"/>
      <c r="X100" s="20"/>
      <c r="Y100" s="20"/>
      <c r="Z100" s="20"/>
      <c r="AA100" t="b">
        <f t="shared" si="64"/>
        <v>1</v>
      </c>
      <c r="AB100" s="24">
        <f t="shared" si="65"/>
        <v>0.97441860465116281</v>
      </c>
      <c r="AC100" t="b">
        <f t="shared" si="66"/>
        <v>1</v>
      </c>
      <c r="AD100" t="b">
        <f t="shared" si="67"/>
        <v>1</v>
      </c>
      <c r="AE100" t="b">
        <f t="shared" si="68"/>
        <v>1</v>
      </c>
    </row>
    <row r="101" spans="1:31" ht="26.4" x14ac:dyDescent="0.3">
      <c r="A101" s="7" t="s">
        <v>27</v>
      </c>
      <c r="B101" s="8">
        <v>54500</v>
      </c>
      <c r="C101" s="8">
        <v>49000</v>
      </c>
      <c r="D101" s="8">
        <v>44900</v>
      </c>
      <c r="E101" s="8">
        <f t="shared" si="69"/>
        <v>46600</v>
      </c>
      <c r="F101" s="8">
        <v>16400</v>
      </c>
      <c r="G101" s="8">
        <v>11600</v>
      </c>
      <c r="H101" s="8">
        <v>11600</v>
      </c>
      <c r="I101" s="8">
        <v>7000</v>
      </c>
      <c r="J101" s="24">
        <f t="shared" si="63"/>
        <v>0.95102040816326527</v>
      </c>
      <c r="M101" s="12" t="s">
        <v>14</v>
      </c>
      <c r="N101" s="13">
        <v>49000</v>
      </c>
      <c r="O101" s="14">
        <v>47800</v>
      </c>
      <c r="P101" s="14">
        <v>8300</v>
      </c>
      <c r="Q101" s="14">
        <v>6300</v>
      </c>
      <c r="R101" s="15">
        <v>49000</v>
      </c>
      <c r="S101" s="15">
        <v>6500</v>
      </c>
      <c r="T101" s="15">
        <v>3500</v>
      </c>
      <c r="U101" s="20"/>
      <c r="V101" s="20"/>
      <c r="W101" s="20"/>
      <c r="X101" s="20"/>
      <c r="Y101" s="20"/>
      <c r="Z101" s="20"/>
      <c r="AA101" t="b">
        <f t="shared" si="64"/>
        <v>1</v>
      </c>
      <c r="AB101" s="24">
        <f t="shared" si="65"/>
        <v>0.97551020408163269</v>
      </c>
      <c r="AC101" t="b">
        <f t="shared" si="66"/>
        <v>1</v>
      </c>
      <c r="AD101" t="b">
        <f t="shared" si="67"/>
        <v>1</v>
      </c>
      <c r="AE101" t="b">
        <f t="shared" si="68"/>
        <v>1</v>
      </c>
    </row>
    <row r="102" spans="1:31" ht="26.55" customHeight="1" x14ac:dyDescent="0.3">
      <c r="A102" s="7" t="s">
        <v>15</v>
      </c>
      <c r="B102" s="8">
        <v>54500</v>
      </c>
      <c r="C102" s="8">
        <v>49000</v>
      </c>
      <c r="D102" s="8">
        <v>44900</v>
      </c>
      <c r="E102" s="8">
        <f t="shared" si="69"/>
        <v>46600</v>
      </c>
      <c r="F102" s="8">
        <v>16400</v>
      </c>
      <c r="G102" s="8">
        <v>11600</v>
      </c>
      <c r="H102" s="8">
        <v>11600</v>
      </c>
      <c r="I102" s="8">
        <v>7000</v>
      </c>
      <c r="J102" s="24">
        <f t="shared" si="63"/>
        <v>0.95102040816326527</v>
      </c>
      <c r="M102" s="16" t="s">
        <v>15</v>
      </c>
      <c r="N102" s="17">
        <v>49000</v>
      </c>
      <c r="O102" s="14">
        <v>47800</v>
      </c>
      <c r="P102" s="14">
        <v>8300</v>
      </c>
      <c r="Q102" s="14">
        <v>6300</v>
      </c>
      <c r="R102" s="19">
        <v>49000</v>
      </c>
      <c r="S102" s="15">
        <v>6500</v>
      </c>
      <c r="T102" s="15">
        <v>3500</v>
      </c>
      <c r="U102" s="20"/>
      <c r="V102" s="20"/>
      <c r="W102" s="20"/>
      <c r="X102" s="20"/>
      <c r="Y102" s="20"/>
      <c r="Z102" s="20"/>
      <c r="AA102" t="b">
        <f t="shared" si="64"/>
        <v>1</v>
      </c>
      <c r="AB102" s="24">
        <f t="shared" si="65"/>
        <v>0.97551020408163269</v>
      </c>
      <c r="AC102" t="b">
        <f t="shared" si="66"/>
        <v>1</v>
      </c>
      <c r="AD102" t="b">
        <f t="shared" si="67"/>
        <v>1</v>
      </c>
      <c r="AE102" t="b">
        <f t="shared" si="68"/>
        <v>1</v>
      </c>
    </row>
    <row r="103" spans="1:31" x14ac:dyDescent="0.3">
      <c r="A103" s="6"/>
      <c r="B103" s="6"/>
      <c r="C103" s="6"/>
      <c r="D103" s="6"/>
      <c r="E103" s="6"/>
      <c r="F103" s="6"/>
      <c r="G103" s="6"/>
      <c r="H103" s="6"/>
      <c r="I103" s="6"/>
    </row>
    <row r="104" spans="1:31" x14ac:dyDescent="0.3">
      <c r="A104" s="6"/>
      <c r="B104" s="6"/>
      <c r="C104" s="6"/>
      <c r="D104" s="6"/>
      <c r="E104" s="6"/>
      <c r="F104" s="6"/>
      <c r="G104" s="6"/>
      <c r="H104" s="6"/>
      <c r="I104" s="6"/>
    </row>
    <row r="105" spans="1:31" x14ac:dyDescent="0.3">
      <c r="A105" s="73" t="s">
        <v>29</v>
      </c>
      <c r="B105" s="74"/>
      <c r="C105" s="74"/>
      <c r="D105" s="74"/>
      <c r="E105" s="74"/>
      <c r="F105" s="74"/>
      <c r="G105" s="74"/>
      <c r="H105" s="74"/>
      <c r="I105" s="74"/>
      <c r="M105" s="75" t="s">
        <v>29</v>
      </c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2"/>
    </row>
    <row r="106" spans="1:31" ht="72" customHeight="1" x14ac:dyDescent="0.3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35</v>
      </c>
      <c r="F106" s="1" t="s">
        <v>4</v>
      </c>
      <c r="G106" s="1" t="s">
        <v>5</v>
      </c>
      <c r="H106" s="1" t="s">
        <v>6</v>
      </c>
      <c r="I106" s="1" t="s">
        <v>7</v>
      </c>
      <c r="M106" s="9" t="s">
        <v>0</v>
      </c>
      <c r="N106" s="9" t="s">
        <v>8</v>
      </c>
      <c r="O106" s="10" t="s">
        <v>9</v>
      </c>
      <c r="P106" s="10" t="s">
        <v>31</v>
      </c>
      <c r="Q106" s="10" t="s">
        <v>32</v>
      </c>
      <c r="R106" s="11" t="s">
        <v>10</v>
      </c>
      <c r="S106" s="11" t="s">
        <v>33</v>
      </c>
      <c r="T106" s="11" t="s">
        <v>34</v>
      </c>
      <c r="U106" s="20"/>
      <c r="V106" s="20"/>
      <c r="W106" s="20"/>
      <c r="X106" s="20"/>
      <c r="Y106" s="20"/>
      <c r="Z106" s="20"/>
    </row>
    <row r="107" spans="1:31" x14ac:dyDescent="0.3">
      <c r="A107" s="5" t="s">
        <v>12</v>
      </c>
      <c r="B107" s="5">
        <v>34500</v>
      </c>
      <c r="C107" s="5">
        <v>31000</v>
      </c>
      <c r="D107" s="5">
        <v>28400</v>
      </c>
      <c r="E107" s="5">
        <f>SUM(F107:I107)</f>
        <v>29500</v>
      </c>
      <c r="F107" s="5">
        <v>10400</v>
      </c>
      <c r="G107" s="5">
        <v>7300</v>
      </c>
      <c r="H107" s="5">
        <v>7300</v>
      </c>
      <c r="I107" s="5">
        <v>4500</v>
      </c>
      <c r="J107" s="24">
        <f t="shared" ref="J107:J112" si="70">E107/C107</f>
        <v>0.95161290322580649</v>
      </c>
      <c r="M107" s="12" t="s">
        <v>12</v>
      </c>
      <c r="N107" s="13">
        <v>31000</v>
      </c>
      <c r="O107" s="14">
        <v>30200</v>
      </c>
      <c r="P107" s="14">
        <v>5300</v>
      </c>
      <c r="Q107" s="14">
        <v>3700</v>
      </c>
      <c r="R107" s="15">
        <v>31000</v>
      </c>
      <c r="S107" s="15">
        <v>4100</v>
      </c>
      <c r="T107" s="15">
        <v>2300</v>
      </c>
      <c r="U107" s="20"/>
      <c r="V107" s="20"/>
      <c r="W107" s="20"/>
      <c r="X107" s="20"/>
      <c r="Y107" s="20"/>
      <c r="Z107" s="20"/>
      <c r="AA107" t="b">
        <f t="shared" ref="AA107:AA112" si="71">C107=N107</f>
        <v>1</v>
      </c>
      <c r="AB107" s="24">
        <f t="shared" ref="AB107:AB112" si="72">O107/N107</f>
        <v>0.97419354838709682</v>
      </c>
      <c r="AC107" t="b">
        <f t="shared" ref="AC107:AC112" si="73">P107*5+Q107=O107</f>
        <v>1</v>
      </c>
      <c r="AD107" t="b">
        <f t="shared" ref="AD107:AD112" si="74">R107=N107</f>
        <v>1</v>
      </c>
      <c r="AE107" t="b">
        <f t="shared" ref="AE107:AE112" si="75">S107*7+T107=R107</f>
        <v>1</v>
      </c>
    </row>
    <row r="108" spans="1:31" x14ac:dyDescent="0.3">
      <c r="A108" s="5" t="s">
        <v>20</v>
      </c>
      <c r="B108" s="5">
        <v>47500</v>
      </c>
      <c r="C108" s="5">
        <v>43000</v>
      </c>
      <c r="D108" s="5">
        <v>39400</v>
      </c>
      <c r="E108" s="5">
        <f t="shared" ref="E108:E112" si="76">SUM(F108:I108)</f>
        <v>40900</v>
      </c>
      <c r="F108" s="5">
        <v>14400</v>
      </c>
      <c r="G108" s="5">
        <v>10200</v>
      </c>
      <c r="H108" s="5">
        <v>10200</v>
      </c>
      <c r="I108" s="5">
        <v>6100</v>
      </c>
      <c r="J108" s="24">
        <f t="shared" si="70"/>
        <v>0.9511627906976744</v>
      </c>
      <c r="M108" s="16" t="s">
        <v>20</v>
      </c>
      <c r="N108" s="17">
        <v>43000</v>
      </c>
      <c r="O108" s="18">
        <v>41900</v>
      </c>
      <c r="P108" s="14">
        <v>7300</v>
      </c>
      <c r="Q108" s="14">
        <v>5400</v>
      </c>
      <c r="R108" s="19">
        <v>43000</v>
      </c>
      <c r="S108" s="15">
        <v>5700</v>
      </c>
      <c r="T108" s="15">
        <v>3100</v>
      </c>
      <c r="U108" s="20"/>
      <c r="V108" s="20"/>
      <c r="W108" s="20"/>
      <c r="X108" s="20"/>
      <c r="Y108" s="20"/>
      <c r="Z108" s="20"/>
      <c r="AA108" t="b">
        <f t="shared" si="71"/>
        <v>1</v>
      </c>
      <c r="AB108" s="24">
        <f t="shared" si="72"/>
        <v>0.97441860465116281</v>
      </c>
      <c r="AC108" t="b">
        <f t="shared" si="73"/>
        <v>1</v>
      </c>
      <c r="AD108" t="b">
        <f t="shared" si="74"/>
        <v>1</v>
      </c>
      <c r="AE108" t="b">
        <f t="shared" si="75"/>
        <v>1</v>
      </c>
    </row>
    <row r="109" spans="1:31" x14ac:dyDescent="0.3">
      <c r="A109" s="5" t="s">
        <v>13</v>
      </c>
      <c r="B109" s="5">
        <v>34500</v>
      </c>
      <c r="C109" s="5">
        <v>31000</v>
      </c>
      <c r="D109" s="5">
        <v>28400</v>
      </c>
      <c r="E109" s="5">
        <f t="shared" si="76"/>
        <v>29500</v>
      </c>
      <c r="F109" s="5">
        <v>10400</v>
      </c>
      <c r="G109" s="5">
        <v>7300</v>
      </c>
      <c r="H109" s="5">
        <v>7300</v>
      </c>
      <c r="I109" s="5">
        <v>4500</v>
      </c>
      <c r="J109" s="24">
        <f t="shared" si="70"/>
        <v>0.95161290322580649</v>
      </c>
      <c r="M109" s="12" t="s">
        <v>13</v>
      </c>
      <c r="N109" s="13">
        <v>31000</v>
      </c>
      <c r="O109" s="14">
        <v>30200</v>
      </c>
      <c r="P109" s="14">
        <v>5300</v>
      </c>
      <c r="Q109" s="14">
        <v>3700</v>
      </c>
      <c r="R109" s="15">
        <v>31000</v>
      </c>
      <c r="S109" s="15">
        <v>4100</v>
      </c>
      <c r="T109" s="15">
        <v>2300</v>
      </c>
      <c r="U109" s="20"/>
      <c r="V109" s="20"/>
      <c r="W109" s="20"/>
      <c r="X109" s="20"/>
      <c r="Y109" s="20"/>
      <c r="Z109" s="20"/>
      <c r="AA109" t="b">
        <f t="shared" si="71"/>
        <v>1</v>
      </c>
      <c r="AB109" s="24">
        <f t="shared" si="72"/>
        <v>0.97419354838709682</v>
      </c>
      <c r="AC109" t="b">
        <f t="shared" si="73"/>
        <v>1</v>
      </c>
      <c r="AD109" t="b">
        <f t="shared" si="74"/>
        <v>1</v>
      </c>
      <c r="AE109" t="b">
        <f t="shared" si="75"/>
        <v>1</v>
      </c>
    </row>
    <row r="110" spans="1:31" x14ac:dyDescent="0.3">
      <c r="A110" s="5" t="s">
        <v>21</v>
      </c>
      <c r="B110" s="5">
        <v>47500</v>
      </c>
      <c r="C110" s="5">
        <v>43000</v>
      </c>
      <c r="D110" s="5">
        <v>39400</v>
      </c>
      <c r="E110" s="5">
        <f t="shared" si="76"/>
        <v>40900</v>
      </c>
      <c r="F110" s="5">
        <v>14400</v>
      </c>
      <c r="G110" s="5">
        <v>10200</v>
      </c>
      <c r="H110" s="5">
        <v>10200</v>
      </c>
      <c r="I110" s="5">
        <v>6100</v>
      </c>
      <c r="J110" s="24">
        <f t="shared" si="70"/>
        <v>0.9511627906976744</v>
      </c>
      <c r="M110" s="16" t="s">
        <v>21</v>
      </c>
      <c r="N110" s="17">
        <v>43000</v>
      </c>
      <c r="O110" s="18">
        <v>41900</v>
      </c>
      <c r="P110" s="14">
        <v>7300</v>
      </c>
      <c r="Q110" s="14">
        <v>5400</v>
      </c>
      <c r="R110" s="19">
        <v>43000</v>
      </c>
      <c r="S110" s="15">
        <v>5700</v>
      </c>
      <c r="T110" s="15">
        <v>3100</v>
      </c>
      <c r="U110" s="20"/>
      <c r="V110" s="20"/>
      <c r="W110" s="20"/>
      <c r="X110" s="20"/>
      <c r="Y110" s="20"/>
      <c r="Z110" s="20"/>
      <c r="AA110" t="b">
        <f t="shared" si="71"/>
        <v>1</v>
      </c>
      <c r="AB110" s="24">
        <f t="shared" si="72"/>
        <v>0.97441860465116281</v>
      </c>
      <c r="AC110" t="b">
        <f t="shared" si="73"/>
        <v>1</v>
      </c>
      <c r="AD110" t="b">
        <f t="shared" si="74"/>
        <v>1</v>
      </c>
      <c r="AE110" t="b">
        <f t="shared" si="75"/>
        <v>1</v>
      </c>
    </row>
    <row r="111" spans="1:31" ht="26.4" x14ac:dyDescent="0.3">
      <c r="A111" s="5" t="s">
        <v>27</v>
      </c>
      <c r="B111" s="5">
        <v>61000</v>
      </c>
      <c r="C111" s="5">
        <v>55000</v>
      </c>
      <c r="D111" s="5">
        <v>50400</v>
      </c>
      <c r="E111" s="5">
        <f t="shared" si="76"/>
        <v>52300</v>
      </c>
      <c r="F111" s="5">
        <v>18500</v>
      </c>
      <c r="G111" s="5">
        <v>13000</v>
      </c>
      <c r="H111" s="5">
        <v>13000</v>
      </c>
      <c r="I111" s="5">
        <v>7800</v>
      </c>
      <c r="J111" s="24">
        <f t="shared" si="70"/>
        <v>0.95090909090909093</v>
      </c>
      <c r="M111" s="12" t="s">
        <v>14</v>
      </c>
      <c r="N111" s="13">
        <v>55000</v>
      </c>
      <c r="O111" s="14">
        <v>53600</v>
      </c>
      <c r="P111" s="14">
        <v>9300</v>
      </c>
      <c r="Q111" s="14">
        <v>7100</v>
      </c>
      <c r="R111" s="15">
        <v>55000</v>
      </c>
      <c r="S111" s="15">
        <v>7300</v>
      </c>
      <c r="T111" s="15">
        <v>3900</v>
      </c>
      <c r="U111" s="20"/>
      <c r="V111" s="20"/>
      <c r="W111" s="20"/>
      <c r="X111" s="20"/>
      <c r="Y111" s="20"/>
      <c r="Z111" s="20"/>
      <c r="AA111" t="b">
        <f t="shared" si="71"/>
        <v>1</v>
      </c>
      <c r="AB111" s="24">
        <f t="shared" si="72"/>
        <v>0.97454545454545449</v>
      </c>
      <c r="AC111" t="b">
        <f t="shared" si="73"/>
        <v>1</v>
      </c>
      <c r="AD111" t="b">
        <f t="shared" si="74"/>
        <v>1</v>
      </c>
      <c r="AE111" t="b">
        <f t="shared" si="75"/>
        <v>1</v>
      </c>
    </row>
    <row r="112" spans="1:31" ht="26.55" customHeight="1" x14ac:dyDescent="0.3">
      <c r="A112" s="5" t="s">
        <v>15</v>
      </c>
      <c r="B112" s="5">
        <v>61000</v>
      </c>
      <c r="C112" s="5">
        <v>55000</v>
      </c>
      <c r="D112" s="5">
        <v>50400</v>
      </c>
      <c r="E112" s="5">
        <f t="shared" si="76"/>
        <v>52300</v>
      </c>
      <c r="F112" s="5">
        <v>18500</v>
      </c>
      <c r="G112" s="5">
        <v>13000</v>
      </c>
      <c r="H112" s="5">
        <v>13000</v>
      </c>
      <c r="I112" s="5">
        <v>7800</v>
      </c>
      <c r="J112" s="24">
        <f t="shared" si="70"/>
        <v>0.95090909090909093</v>
      </c>
      <c r="M112" s="16" t="s">
        <v>15</v>
      </c>
      <c r="N112" s="17">
        <v>55000</v>
      </c>
      <c r="O112" s="18">
        <v>53600</v>
      </c>
      <c r="P112" s="14">
        <v>9300</v>
      </c>
      <c r="Q112" s="14">
        <v>7100</v>
      </c>
      <c r="R112" s="19">
        <v>55000</v>
      </c>
      <c r="S112" s="15">
        <v>7300</v>
      </c>
      <c r="T112" s="15">
        <v>3900</v>
      </c>
      <c r="U112" s="20"/>
      <c r="V112" s="20"/>
      <c r="W112" s="20"/>
      <c r="X112" s="20"/>
      <c r="Y112" s="20"/>
      <c r="Z112" s="20"/>
      <c r="AA112" t="b">
        <f t="shared" si="71"/>
        <v>1</v>
      </c>
      <c r="AB112" s="24">
        <f t="shared" si="72"/>
        <v>0.97454545454545449</v>
      </c>
      <c r="AC112" t="b">
        <f t="shared" si="73"/>
        <v>1</v>
      </c>
      <c r="AD112" t="b">
        <f t="shared" si="74"/>
        <v>1</v>
      </c>
      <c r="AE112" t="b">
        <f t="shared" si="75"/>
        <v>1</v>
      </c>
    </row>
    <row r="113" spans="1:31" x14ac:dyDescent="0.3">
      <c r="A113" s="6"/>
      <c r="B113" s="6"/>
      <c r="C113" s="6"/>
      <c r="D113" s="6"/>
      <c r="E113" s="6"/>
      <c r="F113" s="6"/>
      <c r="G113" s="6"/>
      <c r="H113" s="6"/>
      <c r="I113" s="6"/>
    </row>
    <row r="114" spans="1:31" x14ac:dyDescent="0.3">
      <c r="A114" s="6"/>
      <c r="B114" s="6"/>
      <c r="C114" s="6"/>
      <c r="D114" s="6"/>
      <c r="E114" s="6"/>
      <c r="F114" s="6"/>
      <c r="G114" s="6"/>
      <c r="H114" s="6"/>
      <c r="I114" s="6"/>
    </row>
    <row r="115" spans="1:31" x14ac:dyDescent="0.3">
      <c r="A115" s="70" t="s">
        <v>30</v>
      </c>
      <c r="B115" s="71"/>
      <c r="C115" s="71"/>
      <c r="D115" s="71"/>
      <c r="E115" s="71"/>
      <c r="F115" s="71"/>
      <c r="G115" s="71"/>
      <c r="H115" s="71"/>
      <c r="I115" s="72"/>
      <c r="M115" s="75" t="s">
        <v>30</v>
      </c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2"/>
    </row>
    <row r="116" spans="1:31" ht="80.55" customHeight="1" x14ac:dyDescent="0.3">
      <c r="A116" s="3" t="s">
        <v>0</v>
      </c>
      <c r="B116" s="3" t="s">
        <v>1</v>
      </c>
      <c r="C116" s="3" t="s">
        <v>2</v>
      </c>
      <c r="D116" s="3" t="s">
        <v>3</v>
      </c>
      <c r="E116" s="3" t="s">
        <v>35</v>
      </c>
      <c r="F116" s="3" t="s">
        <v>4</v>
      </c>
      <c r="G116" s="3" t="s">
        <v>5</v>
      </c>
      <c r="H116" s="3" t="s">
        <v>6</v>
      </c>
      <c r="I116" s="3" t="s">
        <v>7</v>
      </c>
      <c r="M116" s="9" t="s">
        <v>0</v>
      </c>
      <c r="N116" s="9" t="s">
        <v>8</v>
      </c>
      <c r="O116" s="10" t="s">
        <v>9</v>
      </c>
      <c r="P116" s="10" t="s">
        <v>31</v>
      </c>
      <c r="Q116" s="10" t="s">
        <v>32</v>
      </c>
      <c r="R116" s="11" t="s">
        <v>10</v>
      </c>
      <c r="S116" s="11" t="s">
        <v>33</v>
      </c>
      <c r="T116" s="11" t="s">
        <v>34</v>
      </c>
      <c r="U116" s="20"/>
      <c r="V116" s="20"/>
      <c r="W116" s="20"/>
      <c r="X116" s="20"/>
      <c r="Y116" s="20"/>
      <c r="Z116" s="20"/>
    </row>
    <row r="117" spans="1:31" x14ac:dyDescent="0.3">
      <c r="A117" s="4" t="s">
        <v>12</v>
      </c>
      <c r="B117" s="4">
        <v>47500</v>
      </c>
      <c r="C117" s="4">
        <v>43000</v>
      </c>
      <c r="D117" s="4">
        <v>39400</v>
      </c>
      <c r="E117" s="4">
        <f>SUM(F117:I117)</f>
        <v>40800</v>
      </c>
      <c r="F117" s="4">
        <v>14300</v>
      </c>
      <c r="G117" s="4">
        <v>10200</v>
      </c>
      <c r="H117" s="4">
        <v>10200</v>
      </c>
      <c r="I117" s="4">
        <v>6100</v>
      </c>
      <c r="J117" s="24">
        <f t="shared" ref="J117:J122" si="77">E117/C117</f>
        <v>0.94883720930232562</v>
      </c>
      <c r="M117" s="12" t="s">
        <v>12</v>
      </c>
      <c r="N117" s="13">
        <v>43000</v>
      </c>
      <c r="O117" s="14">
        <v>41900</v>
      </c>
      <c r="P117" s="14">
        <v>7300</v>
      </c>
      <c r="Q117" s="14">
        <v>5400</v>
      </c>
      <c r="R117" s="15">
        <v>43000</v>
      </c>
      <c r="S117" s="15">
        <v>5700</v>
      </c>
      <c r="T117" s="15">
        <v>3100</v>
      </c>
      <c r="U117" s="20"/>
      <c r="V117" s="20"/>
      <c r="W117" s="20"/>
      <c r="X117" s="20"/>
      <c r="Y117" s="20"/>
      <c r="Z117" s="20"/>
      <c r="AA117" t="b">
        <f t="shared" ref="AA117:AA122" si="78">C117=N117</f>
        <v>1</v>
      </c>
      <c r="AB117" s="24">
        <f t="shared" ref="AB117:AB122" si="79">O117/N117</f>
        <v>0.97441860465116281</v>
      </c>
      <c r="AC117" t="b">
        <f t="shared" ref="AC117:AC122" si="80">P117*5+Q117=O117</f>
        <v>1</v>
      </c>
      <c r="AD117" t="b">
        <f t="shared" ref="AD117:AD122" si="81">R117=N117</f>
        <v>1</v>
      </c>
      <c r="AE117" t="b">
        <f t="shared" ref="AE117:AE122" si="82">S117*7+T117=R117</f>
        <v>1</v>
      </c>
    </row>
    <row r="118" spans="1:31" x14ac:dyDescent="0.3">
      <c r="A118" s="4" t="s">
        <v>20</v>
      </c>
      <c r="B118" s="4">
        <v>61000</v>
      </c>
      <c r="C118" s="4">
        <v>55000</v>
      </c>
      <c r="D118" s="4">
        <v>50400</v>
      </c>
      <c r="E118" s="4">
        <f t="shared" ref="E118:E122" si="83">SUM(F118:I118)</f>
        <v>52200</v>
      </c>
      <c r="F118" s="4">
        <v>18400</v>
      </c>
      <c r="G118" s="4">
        <v>13000</v>
      </c>
      <c r="H118" s="4">
        <v>13000</v>
      </c>
      <c r="I118" s="4">
        <v>7800</v>
      </c>
      <c r="J118" s="24">
        <f t="shared" si="77"/>
        <v>0.9490909090909091</v>
      </c>
      <c r="M118" s="16" t="s">
        <v>20</v>
      </c>
      <c r="N118" s="17">
        <v>55000</v>
      </c>
      <c r="O118" s="18">
        <v>53600</v>
      </c>
      <c r="P118" s="14">
        <v>9300</v>
      </c>
      <c r="Q118" s="14">
        <v>7100</v>
      </c>
      <c r="R118" s="19">
        <v>55000</v>
      </c>
      <c r="S118" s="15">
        <v>7300</v>
      </c>
      <c r="T118" s="15">
        <v>3900</v>
      </c>
      <c r="U118" s="20"/>
      <c r="V118" s="20"/>
      <c r="W118" s="20"/>
      <c r="X118" s="20"/>
      <c r="Y118" s="20"/>
      <c r="Z118" s="20"/>
      <c r="AA118" t="b">
        <f t="shared" si="78"/>
        <v>1</v>
      </c>
      <c r="AB118" s="24">
        <f t="shared" si="79"/>
        <v>0.97454545454545449</v>
      </c>
      <c r="AC118" t="b">
        <f t="shared" si="80"/>
        <v>1</v>
      </c>
      <c r="AD118" t="b">
        <f t="shared" si="81"/>
        <v>1</v>
      </c>
      <c r="AE118" t="b">
        <f t="shared" si="82"/>
        <v>1</v>
      </c>
    </row>
    <row r="119" spans="1:31" x14ac:dyDescent="0.3">
      <c r="A119" s="4" t="s">
        <v>13</v>
      </c>
      <c r="B119" s="4">
        <v>47500</v>
      </c>
      <c r="C119" s="4">
        <v>43000</v>
      </c>
      <c r="D119" s="4">
        <v>39400</v>
      </c>
      <c r="E119" s="4">
        <f t="shared" si="83"/>
        <v>40800</v>
      </c>
      <c r="F119" s="4">
        <v>14300</v>
      </c>
      <c r="G119" s="4">
        <v>10200</v>
      </c>
      <c r="H119" s="4">
        <v>10200</v>
      </c>
      <c r="I119" s="4">
        <v>6100</v>
      </c>
      <c r="J119" s="24">
        <f t="shared" si="77"/>
        <v>0.94883720930232562</v>
      </c>
      <c r="M119" s="12" t="s">
        <v>13</v>
      </c>
      <c r="N119" s="13">
        <v>43000</v>
      </c>
      <c r="O119" s="14">
        <v>41900</v>
      </c>
      <c r="P119" s="14">
        <v>7300</v>
      </c>
      <c r="Q119" s="14">
        <v>5400</v>
      </c>
      <c r="R119" s="15">
        <v>43000</v>
      </c>
      <c r="S119" s="15">
        <v>5700</v>
      </c>
      <c r="T119" s="15">
        <v>3100</v>
      </c>
      <c r="U119" s="20"/>
      <c r="V119" s="20"/>
      <c r="W119" s="20"/>
      <c r="X119" s="20"/>
      <c r="Y119" s="20"/>
      <c r="Z119" s="20"/>
      <c r="AA119" t="b">
        <f t="shared" si="78"/>
        <v>1</v>
      </c>
      <c r="AB119" s="24">
        <f t="shared" si="79"/>
        <v>0.97441860465116281</v>
      </c>
      <c r="AC119" t="b">
        <f t="shared" si="80"/>
        <v>1</v>
      </c>
      <c r="AD119" t="b">
        <f t="shared" si="81"/>
        <v>1</v>
      </c>
      <c r="AE119" t="b">
        <f t="shared" si="82"/>
        <v>1</v>
      </c>
    </row>
    <row r="120" spans="1:31" x14ac:dyDescent="0.3">
      <c r="A120" s="4" t="s">
        <v>21</v>
      </c>
      <c r="B120" s="4">
        <v>61000</v>
      </c>
      <c r="C120" s="4">
        <v>55000</v>
      </c>
      <c r="D120" s="4">
        <v>50400</v>
      </c>
      <c r="E120" s="4">
        <f t="shared" si="83"/>
        <v>52200</v>
      </c>
      <c r="F120" s="4">
        <v>18400</v>
      </c>
      <c r="G120" s="4">
        <v>13000</v>
      </c>
      <c r="H120" s="4">
        <v>13000</v>
      </c>
      <c r="I120" s="4">
        <v>7800</v>
      </c>
      <c r="J120" s="24">
        <f t="shared" si="77"/>
        <v>0.9490909090909091</v>
      </c>
      <c r="M120" s="16" t="s">
        <v>21</v>
      </c>
      <c r="N120" s="17">
        <v>55000</v>
      </c>
      <c r="O120" s="18">
        <v>53600</v>
      </c>
      <c r="P120" s="14">
        <v>9300</v>
      </c>
      <c r="Q120" s="14">
        <v>7100</v>
      </c>
      <c r="R120" s="19">
        <v>55000</v>
      </c>
      <c r="S120" s="15">
        <v>7300</v>
      </c>
      <c r="T120" s="15">
        <v>3900</v>
      </c>
      <c r="U120" s="20"/>
      <c r="V120" s="20"/>
      <c r="W120" s="20"/>
      <c r="X120" s="20"/>
      <c r="Y120" s="20"/>
      <c r="Z120" s="20"/>
      <c r="AA120" t="b">
        <f t="shared" si="78"/>
        <v>1</v>
      </c>
      <c r="AB120" s="24">
        <f t="shared" si="79"/>
        <v>0.97454545454545449</v>
      </c>
      <c r="AC120" t="b">
        <f t="shared" si="80"/>
        <v>1</v>
      </c>
      <c r="AD120" t="b">
        <f t="shared" si="81"/>
        <v>1</v>
      </c>
      <c r="AE120" t="b">
        <f t="shared" si="82"/>
        <v>1</v>
      </c>
    </row>
    <row r="121" spans="1:31" ht="26.4" x14ac:dyDescent="0.3">
      <c r="A121" s="8" t="s">
        <v>27</v>
      </c>
      <c r="B121" s="7">
        <v>74500</v>
      </c>
      <c r="C121" s="7">
        <v>67000</v>
      </c>
      <c r="D121" s="7">
        <v>61400</v>
      </c>
      <c r="E121" s="4">
        <f t="shared" si="83"/>
        <v>63600</v>
      </c>
      <c r="F121" s="7">
        <v>22300</v>
      </c>
      <c r="G121" s="7">
        <v>15900</v>
      </c>
      <c r="H121" s="7">
        <v>15900</v>
      </c>
      <c r="I121" s="7">
        <v>9500</v>
      </c>
      <c r="J121" s="24">
        <f t="shared" si="77"/>
        <v>0.94925373134328361</v>
      </c>
      <c r="M121" s="12" t="s">
        <v>14</v>
      </c>
      <c r="N121" s="13">
        <v>67000</v>
      </c>
      <c r="O121" s="14">
        <v>65300</v>
      </c>
      <c r="P121" s="14">
        <v>11400</v>
      </c>
      <c r="Q121" s="14">
        <v>8300</v>
      </c>
      <c r="R121" s="15">
        <v>67000</v>
      </c>
      <c r="S121" s="15">
        <v>8900</v>
      </c>
      <c r="T121" s="15">
        <v>4700</v>
      </c>
      <c r="U121" s="20"/>
      <c r="V121" s="20"/>
      <c r="W121" s="20"/>
      <c r="X121" s="20"/>
      <c r="Y121" s="20"/>
      <c r="Z121" s="20"/>
      <c r="AA121" t="b">
        <f t="shared" si="78"/>
        <v>1</v>
      </c>
      <c r="AB121" s="24">
        <f t="shared" si="79"/>
        <v>0.97462686567164181</v>
      </c>
      <c r="AC121" t="b">
        <f t="shared" si="80"/>
        <v>1</v>
      </c>
      <c r="AD121" t="b">
        <f t="shared" si="81"/>
        <v>1</v>
      </c>
      <c r="AE121" t="b">
        <f t="shared" si="82"/>
        <v>1</v>
      </c>
    </row>
    <row r="122" spans="1:31" ht="26.55" customHeight="1" x14ac:dyDescent="0.3">
      <c r="A122" s="8" t="s">
        <v>15</v>
      </c>
      <c r="B122" s="7">
        <v>74500</v>
      </c>
      <c r="C122" s="7">
        <v>67000</v>
      </c>
      <c r="D122" s="7">
        <v>61400</v>
      </c>
      <c r="E122" s="4">
        <f t="shared" si="83"/>
        <v>63600</v>
      </c>
      <c r="F122" s="7">
        <v>22300</v>
      </c>
      <c r="G122" s="7">
        <v>15900</v>
      </c>
      <c r="H122" s="7">
        <v>15900</v>
      </c>
      <c r="I122" s="7">
        <v>9500</v>
      </c>
      <c r="J122" s="24">
        <f t="shared" si="77"/>
        <v>0.94925373134328361</v>
      </c>
      <c r="M122" s="16" t="s">
        <v>15</v>
      </c>
      <c r="N122" s="17">
        <v>67000</v>
      </c>
      <c r="O122" s="18">
        <v>65300</v>
      </c>
      <c r="P122" s="14">
        <v>11400</v>
      </c>
      <c r="Q122" s="14">
        <v>8300</v>
      </c>
      <c r="R122" s="19">
        <v>67000</v>
      </c>
      <c r="S122" s="15">
        <v>8900</v>
      </c>
      <c r="T122" s="15">
        <v>4700</v>
      </c>
      <c r="U122" s="20"/>
      <c r="V122" s="20"/>
      <c r="W122" s="20"/>
      <c r="X122" s="20"/>
      <c r="Y122" s="20"/>
      <c r="Z122" s="20"/>
      <c r="AA122" t="b">
        <f t="shared" si="78"/>
        <v>1</v>
      </c>
      <c r="AB122" s="24">
        <f t="shared" si="79"/>
        <v>0.97462686567164181</v>
      </c>
      <c r="AC122" t="b">
        <f t="shared" si="80"/>
        <v>1</v>
      </c>
      <c r="AD122" t="b">
        <f t="shared" si="81"/>
        <v>1</v>
      </c>
      <c r="AE122" t="b">
        <f t="shared" si="82"/>
        <v>1</v>
      </c>
    </row>
  </sheetData>
  <mergeCells count="22">
    <mergeCell ref="M81:Z81"/>
    <mergeCell ref="A81:I81"/>
    <mergeCell ref="M62:Z62"/>
    <mergeCell ref="M19:Z19"/>
    <mergeCell ref="A28:I28"/>
    <mergeCell ref="M71:Z71"/>
    <mergeCell ref="A115:I115"/>
    <mergeCell ref="A9:I9"/>
    <mergeCell ref="A105:I105"/>
    <mergeCell ref="M115:Z115"/>
    <mergeCell ref="M51:Z51"/>
    <mergeCell ref="A51:I51"/>
    <mergeCell ref="A41:I41"/>
    <mergeCell ref="M9:Z9"/>
    <mergeCell ref="A62:I62"/>
    <mergeCell ref="A71:I71"/>
    <mergeCell ref="M93:Z93"/>
    <mergeCell ref="M105:Z105"/>
    <mergeCell ref="A19:I19"/>
    <mergeCell ref="M41:Z41"/>
    <mergeCell ref="M28:Z28"/>
    <mergeCell ref="A93:I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Views>
    <sheetView zoomScale="162" workbookViewId="0">
      <selection activeCell="E2" sqref="E2"/>
    </sheetView>
  </sheetViews>
  <sheetFormatPr defaultColWidth="8.77734375" defaultRowHeight="18" customHeight="1" x14ac:dyDescent="0.3"/>
  <cols>
    <col min="1" max="9" width="13.33203125" customWidth="1"/>
  </cols>
  <sheetData>
    <row r="1" spans="1:9" ht="18" customHeight="1" x14ac:dyDescent="0.3">
      <c r="A1" s="73" t="s">
        <v>36</v>
      </c>
      <c r="B1" s="74"/>
      <c r="C1" s="74"/>
      <c r="D1" s="74"/>
      <c r="E1" s="74"/>
      <c r="F1" s="74"/>
      <c r="G1" s="74"/>
      <c r="H1" s="74"/>
      <c r="I1" s="74"/>
    </row>
    <row r="2" spans="1:9" s="21" customFormat="1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44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ht="18" customHeight="1" x14ac:dyDescent="0.3">
      <c r="A3" s="2" t="s">
        <v>11</v>
      </c>
      <c r="B3" s="2">
        <v>17000</v>
      </c>
      <c r="C3" s="2">
        <v>15400</v>
      </c>
      <c r="D3" s="22">
        <v>14100</v>
      </c>
      <c r="E3" s="22">
        <f>SUM(F3:I3)</f>
        <v>14600</v>
      </c>
      <c r="F3" s="2">
        <v>5100</v>
      </c>
      <c r="G3" s="2">
        <v>3600</v>
      </c>
      <c r="H3" s="2">
        <v>3600</v>
      </c>
      <c r="I3" s="2">
        <v>2300</v>
      </c>
    </row>
    <row r="4" spans="1:9" ht="18" customHeight="1" x14ac:dyDescent="0.3">
      <c r="A4" s="2" t="s">
        <v>12</v>
      </c>
      <c r="B4" s="2">
        <v>19750</v>
      </c>
      <c r="C4" s="2">
        <v>17800</v>
      </c>
      <c r="D4" s="22">
        <v>16300</v>
      </c>
      <c r="E4" s="22">
        <f t="shared" ref="E4:E7" si="0">SUM(F4:I4)</f>
        <v>16900</v>
      </c>
      <c r="F4" s="2">
        <v>5900</v>
      </c>
      <c r="G4" s="2">
        <v>4200</v>
      </c>
      <c r="H4" s="2">
        <v>4200</v>
      </c>
      <c r="I4" s="2">
        <v>2600</v>
      </c>
    </row>
    <row r="5" spans="1:9" ht="18" customHeight="1" x14ac:dyDescent="0.3">
      <c r="A5" s="2" t="s">
        <v>13</v>
      </c>
      <c r="B5" s="2">
        <v>19750</v>
      </c>
      <c r="C5" s="2">
        <v>17800</v>
      </c>
      <c r="D5" s="22">
        <v>16300</v>
      </c>
      <c r="E5" s="22">
        <f t="shared" si="0"/>
        <v>16900</v>
      </c>
      <c r="F5" s="2">
        <v>5900</v>
      </c>
      <c r="G5" s="2">
        <v>4200</v>
      </c>
      <c r="H5" s="2">
        <v>4200</v>
      </c>
      <c r="I5" s="2">
        <v>2600</v>
      </c>
    </row>
    <row r="6" spans="1:9" ht="18" customHeight="1" x14ac:dyDescent="0.3">
      <c r="A6" s="2" t="s">
        <v>14</v>
      </c>
      <c r="B6" s="2">
        <v>21000</v>
      </c>
      <c r="C6" s="2">
        <v>19000</v>
      </c>
      <c r="D6" s="22">
        <v>17400</v>
      </c>
      <c r="E6" s="22">
        <f t="shared" si="0"/>
        <v>18000</v>
      </c>
      <c r="F6" s="2">
        <v>6300</v>
      </c>
      <c r="G6" s="2">
        <v>4500</v>
      </c>
      <c r="H6" s="2">
        <v>4500</v>
      </c>
      <c r="I6" s="2">
        <v>2700</v>
      </c>
    </row>
    <row r="7" spans="1:9" ht="18" customHeight="1" x14ac:dyDescent="0.3">
      <c r="A7" s="2" t="s">
        <v>15</v>
      </c>
      <c r="B7" s="2">
        <v>21000</v>
      </c>
      <c r="C7" s="2">
        <v>19000</v>
      </c>
      <c r="D7" s="22">
        <v>17400</v>
      </c>
      <c r="E7" s="22">
        <f t="shared" si="0"/>
        <v>18000</v>
      </c>
      <c r="F7" s="2">
        <v>6300</v>
      </c>
      <c r="G7" s="2">
        <v>4500</v>
      </c>
      <c r="H7" s="2">
        <v>4500</v>
      </c>
      <c r="I7" s="2">
        <v>2700</v>
      </c>
    </row>
    <row r="10" spans="1:9" ht="18" customHeight="1" x14ac:dyDescent="0.3">
      <c r="A10" s="70" t="s">
        <v>16</v>
      </c>
      <c r="B10" s="71"/>
      <c r="C10" s="71"/>
      <c r="D10" s="71"/>
      <c r="E10" s="71"/>
      <c r="F10" s="71"/>
      <c r="G10" s="71"/>
      <c r="H10" s="71"/>
      <c r="I10" s="72"/>
    </row>
    <row r="11" spans="1:9" ht="28.8" x14ac:dyDescent="0.3">
      <c r="A11" s="3" t="s">
        <v>0</v>
      </c>
      <c r="B11" s="3" t="s">
        <v>1</v>
      </c>
      <c r="C11" s="3" t="s">
        <v>2</v>
      </c>
      <c r="D11" s="3" t="s">
        <v>3</v>
      </c>
      <c r="E11" s="3" t="s">
        <v>44</v>
      </c>
      <c r="F11" s="3" t="s">
        <v>4</v>
      </c>
      <c r="G11" s="3" t="s">
        <v>5</v>
      </c>
      <c r="H11" s="3" t="s">
        <v>6</v>
      </c>
      <c r="I11" s="3" t="s">
        <v>7</v>
      </c>
    </row>
    <row r="12" spans="1:9" ht="18" customHeight="1" x14ac:dyDescent="0.3">
      <c r="A12" s="4" t="s">
        <v>11</v>
      </c>
      <c r="B12" s="4">
        <v>27750</v>
      </c>
      <c r="C12" s="4">
        <v>25000</v>
      </c>
      <c r="D12" s="4">
        <v>22900</v>
      </c>
      <c r="E12" s="4">
        <f>SUM(F12:I12)</f>
        <v>23700</v>
      </c>
      <c r="F12" s="4">
        <v>8300</v>
      </c>
      <c r="G12" s="4">
        <v>5900</v>
      </c>
      <c r="H12" s="4">
        <v>5900</v>
      </c>
      <c r="I12" s="4">
        <v>3600</v>
      </c>
    </row>
    <row r="13" spans="1:9" ht="18" customHeight="1" x14ac:dyDescent="0.3">
      <c r="A13" s="4" t="s">
        <v>12</v>
      </c>
      <c r="B13" s="4">
        <v>27750</v>
      </c>
      <c r="C13" s="4">
        <v>25000</v>
      </c>
      <c r="D13" s="4">
        <v>22900</v>
      </c>
      <c r="E13" s="4">
        <f t="shared" ref="E13:E16" si="1">SUM(F13:I13)</f>
        <v>23700</v>
      </c>
      <c r="F13" s="4">
        <v>8300</v>
      </c>
      <c r="G13" s="4">
        <v>5900</v>
      </c>
      <c r="H13" s="4">
        <v>5900</v>
      </c>
      <c r="I13" s="4">
        <v>3600</v>
      </c>
    </row>
    <row r="14" spans="1:9" ht="18" customHeight="1" x14ac:dyDescent="0.3">
      <c r="A14" s="4" t="s">
        <v>13</v>
      </c>
      <c r="B14" s="4">
        <v>27750</v>
      </c>
      <c r="C14" s="4">
        <v>25000</v>
      </c>
      <c r="D14" s="4">
        <v>22900</v>
      </c>
      <c r="E14" s="4">
        <f t="shared" si="1"/>
        <v>23700</v>
      </c>
      <c r="F14" s="4">
        <v>8300</v>
      </c>
      <c r="G14" s="4">
        <v>5900</v>
      </c>
      <c r="H14" s="4">
        <v>5900</v>
      </c>
      <c r="I14" s="4">
        <v>3600</v>
      </c>
    </row>
    <row r="15" spans="1:9" ht="18" customHeight="1" x14ac:dyDescent="0.3">
      <c r="A15" s="4" t="s">
        <v>14</v>
      </c>
      <c r="B15" s="4">
        <v>34500</v>
      </c>
      <c r="C15" s="4">
        <v>31000</v>
      </c>
      <c r="D15" s="4">
        <v>28400</v>
      </c>
      <c r="E15" s="4">
        <f t="shared" si="1"/>
        <v>29400</v>
      </c>
      <c r="F15" s="4">
        <v>10300</v>
      </c>
      <c r="G15" s="4">
        <v>7300</v>
      </c>
      <c r="H15" s="4">
        <v>7300</v>
      </c>
      <c r="I15" s="4">
        <v>4500</v>
      </c>
    </row>
    <row r="16" spans="1:9" ht="18" customHeight="1" x14ac:dyDescent="0.3">
      <c r="A16" s="4" t="s">
        <v>15</v>
      </c>
      <c r="B16" s="4">
        <v>34500</v>
      </c>
      <c r="C16" s="4">
        <v>31000</v>
      </c>
      <c r="D16" s="4">
        <v>28400</v>
      </c>
      <c r="E16" s="4">
        <f t="shared" si="1"/>
        <v>29400</v>
      </c>
      <c r="F16" s="4">
        <v>10300</v>
      </c>
      <c r="G16" s="4">
        <v>7300</v>
      </c>
      <c r="H16" s="4">
        <v>7300</v>
      </c>
      <c r="I16" s="4">
        <v>4500</v>
      </c>
    </row>
    <row r="20" spans="1:9" ht="18" customHeight="1" x14ac:dyDescent="0.3">
      <c r="A20" s="73" t="s">
        <v>17</v>
      </c>
      <c r="B20" s="74"/>
      <c r="C20" s="74"/>
      <c r="D20" s="74"/>
      <c r="E20" s="74"/>
      <c r="F20" s="74"/>
      <c r="G20" s="74"/>
      <c r="H20" s="74"/>
      <c r="I20" s="74"/>
    </row>
    <row r="21" spans="1:9" ht="28.8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44</v>
      </c>
      <c r="F21" s="1" t="s">
        <v>4</v>
      </c>
      <c r="G21" s="1" t="s">
        <v>5</v>
      </c>
      <c r="H21" s="1" t="s">
        <v>6</v>
      </c>
      <c r="I21" s="1" t="s">
        <v>7</v>
      </c>
    </row>
    <row r="22" spans="1:9" ht="18" customHeight="1" x14ac:dyDescent="0.3">
      <c r="A22" s="2" t="s">
        <v>12</v>
      </c>
      <c r="B22" s="2">
        <v>19750</v>
      </c>
      <c r="C22" s="2">
        <v>17800</v>
      </c>
      <c r="D22" s="2">
        <v>16300</v>
      </c>
      <c r="E22" s="2">
        <f>SUM(F22:I22)</f>
        <v>16900</v>
      </c>
      <c r="F22" s="2">
        <v>5900</v>
      </c>
      <c r="G22" s="2">
        <v>4200</v>
      </c>
      <c r="H22" s="2">
        <v>4200</v>
      </c>
      <c r="I22" s="2">
        <v>2600</v>
      </c>
    </row>
    <row r="23" spans="1:9" ht="18" customHeight="1" x14ac:dyDescent="0.3">
      <c r="A23" s="2" t="s">
        <v>13</v>
      </c>
      <c r="B23" s="2">
        <v>19750</v>
      </c>
      <c r="C23" s="2">
        <v>17800</v>
      </c>
      <c r="D23" s="2">
        <v>16300</v>
      </c>
      <c r="E23" s="2">
        <f t="shared" ref="E23:E25" si="2">SUM(F23:I23)</f>
        <v>16900</v>
      </c>
      <c r="F23" s="2">
        <v>5900</v>
      </c>
      <c r="G23" s="2">
        <v>4200</v>
      </c>
      <c r="H23" s="2">
        <v>4200</v>
      </c>
      <c r="I23" s="2">
        <v>2600</v>
      </c>
    </row>
    <row r="24" spans="1:9" ht="18" customHeight="1" x14ac:dyDescent="0.3">
      <c r="A24" s="2" t="s">
        <v>14</v>
      </c>
      <c r="B24" s="2">
        <v>21000</v>
      </c>
      <c r="C24" s="2">
        <v>19000</v>
      </c>
      <c r="D24" s="2">
        <v>17400</v>
      </c>
      <c r="E24" s="2">
        <f t="shared" si="2"/>
        <v>18000</v>
      </c>
      <c r="F24" s="2">
        <v>6300</v>
      </c>
      <c r="G24" s="2">
        <v>4500</v>
      </c>
      <c r="H24" s="2">
        <v>4500</v>
      </c>
      <c r="I24" s="2">
        <v>2700</v>
      </c>
    </row>
    <row r="25" spans="1:9" ht="18" customHeight="1" x14ac:dyDescent="0.3">
      <c r="A25" s="2" t="s">
        <v>15</v>
      </c>
      <c r="B25" s="2">
        <v>21000</v>
      </c>
      <c r="C25" s="2">
        <v>19000</v>
      </c>
      <c r="D25" s="2">
        <v>17400</v>
      </c>
      <c r="E25" s="2">
        <f t="shared" si="2"/>
        <v>18000</v>
      </c>
      <c r="F25" s="2">
        <v>6300</v>
      </c>
      <c r="G25" s="2">
        <v>4500</v>
      </c>
      <c r="H25" s="2">
        <v>4500</v>
      </c>
      <c r="I25" s="2">
        <v>2700</v>
      </c>
    </row>
    <row r="29" spans="1:9" ht="18" customHeight="1" x14ac:dyDescent="0.3">
      <c r="A29" s="70" t="s">
        <v>18</v>
      </c>
      <c r="B29" s="71"/>
      <c r="C29" s="71"/>
      <c r="D29" s="71"/>
      <c r="E29" s="71"/>
      <c r="F29" s="71"/>
      <c r="G29" s="71"/>
      <c r="H29" s="71"/>
      <c r="I29" s="72"/>
    </row>
    <row r="30" spans="1:9" ht="28.8" x14ac:dyDescent="0.3">
      <c r="A30" s="3" t="s">
        <v>0</v>
      </c>
      <c r="B30" s="3" t="s">
        <v>1</v>
      </c>
      <c r="C30" s="3" t="s">
        <v>2</v>
      </c>
      <c r="D30" s="3" t="s">
        <v>3</v>
      </c>
      <c r="E30" s="3" t="s">
        <v>44</v>
      </c>
      <c r="F30" s="3" t="s">
        <v>4</v>
      </c>
      <c r="G30" s="3" t="s">
        <v>5</v>
      </c>
      <c r="H30" s="3" t="s">
        <v>6</v>
      </c>
      <c r="I30" s="3" t="s">
        <v>7</v>
      </c>
    </row>
    <row r="31" spans="1:9" ht="18" customHeight="1" x14ac:dyDescent="0.3">
      <c r="A31" s="4" t="s">
        <v>12</v>
      </c>
      <c r="B31" s="4">
        <v>27750</v>
      </c>
      <c r="C31" s="4">
        <v>25000</v>
      </c>
      <c r="D31" s="4">
        <v>22700</v>
      </c>
      <c r="E31" s="4">
        <f>SUM(F31:I31)</f>
        <v>23700</v>
      </c>
      <c r="F31" s="4">
        <v>8300</v>
      </c>
      <c r="G31" s="4">
        <v>5900</v>
      </c>
      <c r="H31" s="4">
        <v>5900</v>
      </c>
      <c r="I31" s="4">
        <v>3600</v>
      </c>
    </row>
    <row r="32" spans="1:9" ht="18" customHeight="1" x14ac:dyDescent="0.3">
      <c r="A32" s="4" t="s">
        <v>13</v>
      </c>
      <c r="B32" s="4">
        <v>27750</v>
      </c>
      <c r="C32" s="4">
        <v>25000</v>
      </c>
      <c r="D32" s="4">
        <v>22700</v>
      </c>
      <c r="E32" s="4">
        <f t="shared" ref="E32:E34" si="3">SUM(F32:I32)</f>
        <v>23700</v>
      </c>
      <c r="F32" s="4">
        <v>8300</v>
      </c>
      <c r="G32" s="4">
        <v>5900</v>
      </c>
      <c r="H32" s="4">
        <v>5900</v>
      </c>
      <c r="I32" s="4">
        <v>3600</v>
      </c>
    </row>
    <row r="33" spans="1:9" ht="18" customHeight="1" x14ac:dyDescent="0.3">
      <c r="A33" s="4" t="s">
        <v>14</v>
      </c>
      <c r="B33" s="4">
        <v>34500</v>
      </c>
      <c r="C33" s="4">
        <v>31000</v>
      </c>
      <c r="D33" s="4">
        <v>28200</v>
      </c>
      <c r="E33" s="4">
        <f t="shared" si="3"/>
        <v>29400</v>
      </c>
      <c r="F33" s="4">
        <v>10300</v>
      </c>
      <c r="G33" s="4">
        <v>7300</v>
      </c>
      <c r="H33" s="4">
        <v>7300</v>
      </c>
      <c r="I33" s="4">
        <v>4500</v>
      </c>
    </row>
    <row r="34" spans="1:9" ht="18" customHeight="1" x14ac:dyDescent="0.3">
      <c r="A34" s="4" t="s">
        <v>15</v>
      </c>
      <c r="B34" s="4">
        <v>34500</v>
      </c>
      <c r="C34" s="4">
        <v>31000</v>
      </c>
      <c r="D34" s="4">
        <v>28200</v>
      </c>
      <c r="E34" s="4">
        <f t="shared" si="3"/>
        <v>29400</v>
      </c>
      <c r="F34" s="4">
        <v>10300</v>
      </c>
      <c r="G34" s="4">
        <v>7300</v>
      </c>
      <c r="H34" s="4">
        <v>7300</v>
      </c>
      <c r="I34" s="4">
        <v>4500</v>
      </c>
    </row>
    <row r="42" spans="1:9" ht="18" customHeight="1" x14ac:dyDescent="0.3">
      <c r="A42" s="73" t="s">
        <v>19</v>
      </c>
      <c r="B42" s="74"/>
      <c r="C42" s="74"/>
      <c r="D42" s="74"/>
      <c r="E42" s="74"/>
      <c r="F42" s="74"/>
      <c r="G42" s="74"/>
      <c r="H42" s="74"/>
      <c r="I42" s="74"/>
    </row>
    <row r="43" spans="1:9" ht="28.8" x14ac:dyDescent="0.3">
      <c r="A43" s="1" t="s">
        <v>0</v>
      </c>
      <c r="B43" s="1" t="s">
        <v>1</v>
      </c>
      <c r="C43" s="1" t="s">
        <v>2</v>
      </c>
      <c r="D43" s="1" t="s">
        <v>3</v>
      </c>
      <c r="E43" s="1" t="s">
        <v>44</v>
      </c>
      <c r="F43" s="1" t="s">
        <v>4</v>
      </c>
      <c r="G43" s="1" t="s">
        <v>5</v>
      </c>
      <c r="H43" s="1" t="s">
        <v>6</v>
      </c>
      <c r="I43" s="1" t="s">
        <v>7</v>
      </c>
    </row>
    <row r="44" spans="1:9" ht="18" customHeight="1" x14ac:dyDescent="0.3">
      <c r="A44" s="2" t="s">
        <v>12</v>
      </c>
      <c r="B44" s="2">
        <v>19750</v>
      </c>
      <c r="C44" s="2">
        <v>17800</v>
      </c>
      <c r="D44" s="2">
        <v>16300</v>
      </c>
      <c r="E44" s="2">
        <f>SUM(F44:I44)</f>
        <v>16900</v>
      </c>
      <c r="F44" s="2">
        <v>5900</v>
      </c>
      <c r="G44" s="2">
        <v>4200</v>
      </c>
      <c r="H44" s="2">
        <v>4200</v>
      </c>
      <c r="I44" s="2">
        <v>2600</v>
      </c>
    </row>
    <row r="45" spans="1:9" ht="18" customHeight="1" x14ac:dyDescent="0.3">
      <c r="A45" s="2" t="s">
        <v>20</v>
      </c>
      <c r="B45" s="2">
        <v>27750</v>
      </c>
      <c r="C45" s="2">
        <v>25000</v>
      </c>
      <c r="D45" s="2">
        <v>22900</v>
      </c>
      <c r="E45" s="2">
        <f t="shared" ref="E45:E47" si="4">SUM(F45:I45)</f>
        <v>23700</v>
      </c>
      <c r="F45" s="2">
        <v>8300</v>
      </c>
      <c r="G45" s="2">
        <v>5900</v>
      </c>
      <c r="H45" s="2">
        <v>5900</v>
      </c>
      <c r="I45" s="2">
        <v>3600</v>
      </c>
    </row>
    <row r="46" spans="1:9" ht="18" customHeight="1" x14ac:dyDescent="0.3">
      <c r="A46" s="2" t="s">
        <v>13</v>
      </c>
      <c r="B46" s="2">
        <v>19750</v>
      </c>
      <c r="C46" s="2">
        <v>17800</v>
      </c>
      <c r="D46" s="2">
        <v>16300</v>
      </c>
      <c r="E46" s="2">
        <f t="shared" si="4"/>
        <v>16900</v>
      </c>
      <c r="F46" s="2">
        <v>5900</v>
      </c>
      <c r="G46" s="2">
        <v>4200</v>
      </c>
      <c r="H46" s="2">
        <v>4200</v>
      </c>
      <c r="I46" s="2">
        <v>2600</v>
      </c>
    </row>
    <row r="47" spans="1:9" ht="18" customHeight="1" x14ac:dyDescent="0.3">
      <c r="A47" s="2" t="s">
        <v>21</v>
      </c>
      <c r="B47" s="2">
        <v>27750</v>
      </c>
      <c r="C47" s="2">
        <v>25000</v>
      </c>
      <c r="D47" s="2">
        <v>22900</v>
      </c>
      <c r="E47" s="2">
        <f t="shared" si="4"/>
        <v>23700</v>
      </c>
      <c r="F47" s="2">
        <v>8300</v>
      </c>
      <c r="G47" s="2">
        <v>5900</v>
      </c>
      <c r="H47" s="2">
        <v>5900</v>
      </c>
      <c r="I47" s="2">
        <v>3600</v>
      </c>
    </row>
    <row r="52" spans="1:9" ht="18" customHeight="1" x14ac:dyDescent="0.3">
      <c r="A52" s="70" t="s">
        <v>22</v>
      </c>
      <c r="B52" s="71"/>
      <c r="C52" s="71"/>
      <c r="D52" s="71"/>
      <c r="E52" s="71"/>
      <c r="F52" s="71"/>
      <c r="G52" s="71"/>
      <c r="H52" s="71"/>
      <c r="I52" s="72"/>
    </row>
    <row r="53" spans="1:9" ht="28.8" x14ac:dyDescent="0.3">
      <c r="A53" s="3" t="s">
        <v>0</v>
      </c>
      <c r="B53" s="3" t="s">
        <v>1</v>
      </c>
      <c r="C53" s="3" t="s">
        <v>2</v>
      </c>
      <c r="D53" s="3" t="s">
        <v>3</v>
      </c>
      <c r="E53" s="3" t="s">
        <v>44</v>
      </c>
      <c r="F53" s="3" t="s">
        <v>4</v>
      </c>
      <c r="G53" s="3" t="s">
        <v>5</v>
      </c>
      <c r="H53" s="3" t="s">
        <v>6</v>
      </c>
      <c r="I53" s="3" t="s">
        <v>7</v>
      </c>
    </row>
    <row r="54" spans="1:9" ht="18" customHeight="1" x14ac:dyDescent="0.3">
      <c r="A54" s="4" t="s">
        <v>12</v>
      </c>
      <c r="B54" s="4">
        <v>27750</v>
      </c>
      <c r="C54" s="4">
        <v>25000</v>
      </c>
      <c r="D54" s="4">
        <v>22900</v>
      </c>
      <c r="E54" s="4">
        <f>SUM(F54:I54)</f>
        <v>23800</v>
      </c>
      <c r="F54" s="4">
        <v>8300</v>
      </c>
      <c r="G54" s="4">
        <v>5900</v>
      </c>
      <c r="H54" s="4">
        <v>5900</v>
      </c>
      <c r="I54" s="4">
        <v>3700</v>
      </c>
    </row>
    <row r="55" spans="1:9" ht="18" customHeight="1" x14ac:dyDescent="0.3">
      <c r="A55" s="4" t="s">
        <v>20</v>
      </c>
      <c r="B55" s="4">
        <v>41000</v>
      </c>
      <c r="C55" s="4">
        <v>37000</v>
      </c>
      <c r="D55" s="4">
        <v>33900</v>
      </c>
      <c r="E55" s="4">
        <f t="shared" ref="E55:E57" si="5">SUM(F55:I55)</f>
        <v>35200</v>
      </c>
      <c r="F55" s="4">
        <v>12300</v>
      </c>
      <c r="G55" s="4">
        <v>8700</v>
      </c>
      <c r="H55" s="4">
        <v>8700</v>
      </c>
      <c r="I55" s="4">
        <v>5500</v>
      </c>
    </row>
    <row r="56" spans="1:9" ht="18" customHeight="1" x14ac:dyDescent="0.3">
      <c r="A56" s="4" t="s">
        <v>13</v>
      </c>
      <c r="B56" s="4">
        <v>27750</v>
      </c>
      <c r="C56" s="4">
        <v>25000</v>
      </c>
      <c r="D56" s="4">
        <v>22900</v>
      </c>
      <c r="E56" s="4">
        <f t="shared" si="5"/>
        <v>23800</v>
      </c>
      <c r="F56" s="4">
        <v>8300</v>
      </c>
      <c r="G56" s="4">
        <v>5900</v>
      </c>
      <c r="H56" s="4">
        <v>5900</v>
      </c>
      <c r="I56" s="4">
        <v>3700</v>
      </c>
    </row>
    <row r="57" spans="1:9" ht="18" customHeight="1" x14ac:dyDescent="0.3">
      <c r="A57" s="4" t="s">
        <v>21</v>
      </c>
      <c r="B57" s="4">
        <v>41000</v>
      </c>
      <c r="C57" s="4">
        <v>37000</v>
      </c>
      <c r="D57" s="4">
        <v>33900</v>
      </c>
      <c r="E57" s="4">
        <f t="shared" si="5"/>
        <v>35200</v>
      </c>
      <c r="F57" s="4">
        <v>12300</v>
      </c>
      <c r="G57" s="4">
        <v>8700</v>
      </c>
      <c r="H57" s="4">
        <v>8700</v>
      </c>
      <c r="I57" s="4">
        <v>5500</v>
      </c>
    </row>
    <row r="63" spans="1:9" ht="18" customHeight="1" x14ac:dyDescent="0.3">
      <c r="A63" s="73" t="s">
        <v>23</v>
      </c>
      <c r="B63" s="74"/>
      <c r="C63" s="74"/>
      <c r="D63" s="74"/>
      <c r="E63" s="74"/>
      <c r="F63" s="74"/>
      <c r="G63" s="74"/>
      <c r="H63" s="74"/>
      <c r="I63" s="74"/>
    </row>
    <row r="64" spans="1:9" ht="28.8" x14ac:dyDescent="0.3">
      <c r="A64" s="1" t="s">
        <v>0</v>
      </c>
      <c r="B64" s="1" t="s">
        <v>1</v>
      </c>
      <c r="C64" s="1" t="s">
        <v>2</v>
      </c>
      <c r="D64" s="1" t="s">
        <v>3</v>
      </c>
      <c r="E64" s="1" t="s">
        <v>44</v>
      </c>
      <c r="F64" s="1" t="s">
        <v>4</v>
      </c>
      <c r="G64" s="1" t="s">
        <v>5</v>
      </c>
      <c r="H64" s="1" t="s">
        <v>6</v>
      </c>
      <c r="I64" s="1" t="s">
        <v>7</v>
      </c>
    </row>
    <row r="65" spans="1:9" ht="18" customHeight="1" x14ac:dyDescent="0.3">
      <c r="A65" s="2" t="s">
        <v>20</v>
      </c>
      <c r="B65" s="2">
        <v>48500</v>
      </c>
      <c r="C65" s="2">
        <v>43000</v>
      </c>
      <c r="D65" s="2">
        <v>39400</v>
      </c>
      <c r="E65" s="2">
        <f>SUM(F65:I65)</f>
        <v>40900</v>
      </c>
      <c r="F65" s="2">
        <v>14300</v>
      </c>
      <c r="G65" s="2">
        <v>10200</v>
      </c>
      <c r="H65" s="2">
        <v>10200</v>
      </c>
      <c r="I65" s="2">
        <v>6200</v>
      </c>
    </row>
    <row r="66" spans="1:9" ht="18" customHeight="1" x14ac:dyDescent="0.3">
      <c r="A66" s="2" t="s">
        <v>21</v>
      </c>
      <c r="B66" s="2">
        <v>48500</v>
      </c>
      <c r="C66" s="2">
        <v>43000</v>
      </c>
      <c r="D66" s="2">
        <v>39400</v>
      </c>
      <c r="E66" s="2">
        <f t="shared" ref="E66:E68" si="6">SUM(F66:I66)</f>
        <v>40900</v>
      </c>
      <c r="F66" s="2">
        <v>14300</v>
      </c>
      <c r="G66" s="2">
        <v>10200</v>
      </c>
      <c r="H66" s="2">
        <v>10200</v>
      </c>
      <c r="I66" s="2">
        <v>6200</v>
      </c>
    </row>
    <row r="67" spans="1:9" ht="18" customHeight="1" x14ac:dyDescent="0.3">
      <c r="A67" s="2" t="s">
        <v>14</v>
      </c>
      <c r="B67" s="2">
        <v>68500</v>
      </c>
      <c r="C67" s="2">
        <v>61000</v>
      </c>
      <c r="D67" s="2">
        <v>55900</v>
      </c>
      <c r="E67" s="2">
        <f t="shared" si="6"/>
        <v>57900</v>
      </c>
      <c r="F67" s="2">
        <v>20400</v>
      </c>
      <c r="G67" s="2">
        <v>14400</v>
      </c>
      <c r="H67" s="2">
        <v>14400</v>
      </c>
      <c r="I67" s="2">
        <v>8700</v>
      </c>
    </row>
    <row r="68" spans="1:9" ht="18" customHeight="1" x14ac:dyDescent="0.3">
      <c r="A68" s="2" t="s">
        <v>15</v>
      </c>
      <c r="B68" s="2">
        <v>68500</v>
      </c>
      <c r="C68" s="2">
        <v>61000</v>
      </c>
      <c r="D68" s="2">
        <v>55900</v>
      </c>
      <c r="E68" s="2">
        <f t="shared" si="6"/>
        <v>57900</v>
      </c>
      <c r="F68" s="2">
        <v>20400</v>
      </c>
      <c r="G68" s="2">
        <v>14400</v>
      </c>
      <c r="H68" s="2">
        <v>14400</v>
      </c>
      <c r="I68" s="2">
        <v>8700</v>
      </c>
    </row>
    <row r="72" spans="1:9" ht="18" customHeight="1" x14ac:dyDescent="0.3">
      <c r="A72" s="70" t="s">
        <v>24</v>
      </c>
      <c r="B72" s="71"/>
      <c r="C72" s="71"/>
      <c r="D72" s="71"/>
      <c r="E72" s="71"/>
      <c r="F72" s="71"/>
      <c r="G72" s="71"/>
      <c r="H72" s="71"/>
      <c r="I72" s="72"/>
    </row>
    <row r="73" spans="1:9" ht="28.8" x14ac:dyDescent="0.3">
      <c r="A73" s="3" t="s">
        <v>0</v>
      </c>
      <c r="B73" s="3" t="s">
        <v>1</v>
      </c>
      <c r="C73" s="3" t="s">
        <v>2</v>
      </c>
      <c r="D73" s="3" t="s">
        <v>3</v>
      </c>
      <c r="E73" s="3" t="s">
        <v>44</v>
      </c>
      <c r="F73" s="3" t="s">
        <v>4</v>
      </c>
      <c r="G73" s="3" t="s">
        <v>5</v>
      </c>
      <c r="H73" s="3" t="s">
        <v>6</v>
      </c>
      <c r="I73" s="3" t="s">
        <v>7</v>
      </c>
    </row>
    <row r="74" spans="1:9" ht="18" customHeight="1" x14ac:dyDescent="0.3">
      <c r="A74" s="4" t="s">
        <v>20</v>
      </c>
      <c r="B74" s="4">
        <v>61000</v>
      </c>
      <c r="C74" s="4">
        <v>55000</v>
      </c>
      <c r="D74" s="4">
        <v>50400</v>
      </c>
      <c r="E74" s="4">
        <f>SUM(F74:I74)</f>
        <v>52300</v>
      </c>
      <c r="F74" s="4">
        <v>18300</v>
      </c>
      <c r="G74" s="4">
        <v>13100</v>
      </c>
      <c r="H74" s="4">
        <v>13100</v>
      </c>
      <c r="I74" s="4">
        <v>7800</v>
      </c>
    </row>
    <row r="75" spans="1:9" ht="18" customHeight="1" x14ac:dyDescent="0.3">
      <c r="A75" s="4" t="s">
        <v>21</v>
      </c>
      <c r="B75" s="4">
        <v>61000</v>
      </c>
      <c r="C75" s="4">
        <v>55000</v>
      </c>
      <c r="D75" s="4">
        <v>50400</v>
      </c>
      <c r="E75" s="4">
        <f t="shared" ref="E75:E77" si="7">SUM(F75:I75)</f>
        <v>52300</v>
      </c>
      <c r="F75" s="4">
        <v>18300</v>
      </c>
      <c r="G75" s="4">
        <v>13100</v>
      </c>
      <c r="H75" s="4">
        <v>13100</v>
      </c>
      <c r="I75" s="4">
        <v>7800</v>
      </c>
    </row>
    <row r="76" spans="1:9" ht="18" customHeight="1" x14ac:dyDescent="0.3">
      <c r="A76" s="4" t="s">
        <v>14</v>
      </c>
      <c r="B76" s="4">
        <v>81000</v>
      </c>
      <c r="C76" s="4">
        <v>73000</v>
      </c>
      <c r="D76" s="4">
        <v>66900</v>
      </c>
      <c r="E76" s="4">
        <f t="shared" si="7"/>
        <v>69400</v>
      </c>
      <c r="F76" s="4">
        <v>24400</v>
      </c>
      <c r="G76" s="4">
        <v>17300</v>
      </c>
      <c r="H76" s="4">
        <v>17300</v>
      </c>
      <c r="I76" s="4">
        <v>10400</v>
      </c>
    </row>
    <row r="77" spans="1:9" ht="18" customHeight="1" x14ac:dyDescent="0.3">
      <c r="A77" s="4" t="s">
        <v>15</v>
      </c>
      <c r="B77" s="4">
        <v>81000</v>
      </c>
      <c r="C77" s="4">
        <v>73000</v>
      </c>
      <c r="D77" s="4">
        <v>66900</v>
      </c>
      <c r="E77" s="4">
        <f t="shared" si="7"/>
        <v>69400</v>
      </c>
      <c r="F77" s="4">
        <v>24400</v>
      </c>
      <c r="G77" s="4">
        <v>17300</v>
      </c>
      <c r="H77" s="4">
        <v>17300</v>
      </c>
      <c r="I77" s="4">
        <v>10400</v>
      </c>
    </row>
    <row r="82" spans="1:9" ht="18" customHeight="1" x14ac:dyDescent="0.3">
      <c r="A82" s="76" t="s">
        <v>25</v>
      </c>
      <c r="B82" s="71"/>
      <c r="C82" s="71"/>
      <c r="D82" s="71"/>
      <c r="E82" s="71"/>
      <c r="F82" s="71"/>
      <c r="G82" s="71"/>
      <c r="H82" s="71"/>
      <c r="I82" s="72"/>
    </row>
    <row r="83" spans="1:9" ht="28.8" x14ac:dyDescent="0.3">
      <c r="A83" s="1" t="s">
        <v>0</v>
      </c>
      <c r="B83" s="1" t="s">
        <v>1</v>
      </c>
      <c r="C83" s="1" t="s">
        <v>2</v>
      </c>
      <c r="D83" s="1" t="s">
        <v>3</v>
      </c>
      <c r="E83" s="1" t="s">
        <v>44</v>
      </c>
      <c r="F83" s="1" t="s">
        <v>4</v>
      </c>
      <c r="G83" s="1" t="s">
        <v>5</v>
      </c>
      <c r="H83" s="1" t="s">
        <v>6</v>
      </c>
      <c r="I83" s="1" t="s">
        <v>7</v>
      </c>
    </row>
    <row r="84" spans="1:9" ht="18" customHeight="1" x14ac:dyDescent="0.3">
      <c r="A84" s="5" t="s">
        <v>11</v>
      </c>
      <c r="B84" s="5">
        <v>21000</v>
      </c>
      <c r="C84" s="5">
        <v>19000</v>
      </c>
      <c r="D84" s="5">
        <v>17400</v>
      </c>
      <c r="E84" s="5">
        <f>SUM(F84:I84)</f>
        <v>18100</v>
      </c>
      <c r="F84" s="5">
        <v>6400</v>
      </c>
      <c r="G84" s="5">
        <v>4500</v>
      </c>
      <c r="H84" s="5">
        <v>4500</v>
      </c>
      <c r="I84" s="5">
        <v>2700</v>
      </c>
    </row>
    <row r="85" spans="1:9" ht="18" customHeight="1" x14ac:dyDescent="0.3">
      <c r="A85" s="5" t="s">
        <v>26</v>
      </c>
      <c r="B85" s="5">
        <v>27750</v>
      </c>
      <c r="C85" s="5">
        <v>25000</v>
      </c>
      <c r="D85" s="5">
        <v>22900</v>
      </c>
      <c r="E85" s="5">
        <f t="shared" ref="E85:E91" si="8">SUM(F85:I85)</f>
        <v>23800</v>
      </c>
      <c r="F85" s="5">
        <v>8400</v>
      </c>
      <c r="G85" s="5">
        <v>5900</v>
      </c>
      <c r="H85" s="5">
        <v>5900</v>
      </c>
      <c r="I85" s="5">
        <v>3600</v>
      </c>
    </row>
    <row r="86" spans="1:9" ht="18" customHeight="1" x14ac:dyDescent="0.3">
      <c r="A86" s="5" t="s">
        <v>12</v>
      </c>
      <c r="B86" s="5">
        <v>27750</v>
      </c>
      <c r="C86" s="5">
        <v>25000</v>
      </c>
      <c r="D86" s="5">
        <v>22900</v>
      </c>
      <c r="E86" s="5">
        <f t="shared" si="8"/>
        <v>23800</v>
      </c>
      <c r="F86" s="5">
        <v>8400</v>
      </c>
      <c r="G86" s="5">
        <v>5900</v>
      </c>
      <c r="H86" s="5">
        <v>5900</v>
      </c>
      <c r="I86" s="5">
        <v>3600</v>
      </c>
    </row>
    <row r="87" spans="1:9" ht="18" customHeight="1" x14ac:dyDescent="0.3">
      <c r="A87" s="5" t="s">
        <v>20</v>
      </c>
      <c r="B87" s="5">
        <v>34500</v>
      </c>
      <c r="C87" s="5">
        <v>31000</v>
      </c>
      <c r="D87" s="5">
        <v>28400</v>
      </c>
      <c r="E87" s="5">
        <f t="shared" si="8"/>
        <v>29500</v>
      </c>
      <c r="F87" s="5">
        <v>10300</v>
      </c>
      <c r="G87" s="5">
        <v>7400</v>
      </c>
      <c r="H87" s="5">
        <v>7400</v>
      </c>
      <c r="I87" s="5">
        <v>4400</v>
      </c>
    </row>
    <row r="88" spans="1:9" ht="18" customHeight="1" x14ac:dyDescent="0.3">
      <c r="A88" s="5" t="s">
        <v>13</v>
      </c>
      <c r="B88" s="5">
        <v>27750</v>
      </c>
      <c r="C88" s="5">
        <v>25000</v>
      </c>
      <c r="D88" s="5">
        <v>22900</v>
      </c>
      <c r="E88" s="5">
        <f t="shared" si="8"/>
        <v>23800</v>
      </c>
      <c r="F88" s="5">
        <v>8400</v>
      </c>
      <c r="G88" s="5">
        <v>5900</v>
      </c>
      <c r="H88" s="5">
        <v>5900</v>
      </c>
      <c r="I88" s="5">
        <v>3600</v>
      </c>
    </row>
    <row r="89" spans="1:9" ht="18" customHeight="1" x14ac:dyDescent="0.3">
      <c r="A89" s="5" t="s">
        <v>21</v>
      </c>
      <c r="B89" s="5">
        <v>34500</v>
      </c>
      <c r="C89" s="5">
        <v>31000</v>
      </c>
      <c r="D89" s="5">
        <v>28400</v>
      </c>
      <c r="E89" s="5">
        <f t="shared" si="8"/>
        <v>29500</v>
      </c>
      <c r="F89" s="5">
        <v>10300</v>
      </c>
      <c r="G89" s="5">
        <v>7400</v>
      </c>
      <c r="H89" s="5">
        <v>7400</v>
      </c>
      <c r="I89" s="5">
        <v>4400</v>
      </c>
    </row>
    <row r="90" spans="1:9" ht="18" customHeight="1" x14ac:dyDescent="0.3">
      <c r="A90" s="5" t="s">
        <v>27</v>
      </c>
      <c r="B90" s="5">
        <v>41000</v>
      </c>
      <c r="C90" s="5">
        <v>37000</v>
      </c>
      <c r="D90" s="5">
        <v>33900</v>
      </c>
      <c r="E90" s="5">
        <f t="shared" si="8"/>
        <v>35200</v>
      </c>
      <c r="F90" s="5">
        <v>12300</v>
      </c>
      <c r="G90" s="5">
        <v>8800</v>
      </c>
      <c r="H90" s="5">
        <v>8800</v>
      </c>
      <c r="I90" s="5">
        <v>5300</v>
      </c>
    </row>
    <row r="91" spans="1:9" ht="18" customHeight="1" x14ac:dyDescent="0.3">
      <c r="A91" s="5" t="s">
        <v>15</v>
      </c>
      <c r="B91" s="5">
        <v>41000</v>
      </c>
      <c r="C91" s="5">
        <v>37000</v>
      </c>
      <c r="D91" s="5">
        <v>33900</v>
      </c>
      <c r="E91" s="5">
        <f t="shared" si="8"/>
        <v>35200</v>
      </c>
      <c r="F91" s="5">
        <v>12300</v>
      </c>
      <c r="G91" s="5">
        <v>8800</v>
      </c>
      <c r="H91" s="5">
        <v>8800</v>
      </c>
      <c r="I91" s="5">
        <v>5300</v>
      </c>
    </row>
    <row r="92" spans="1:9" ht="18" customHeight="1" x14ac:dyDescent="0.3">
      <c r="A92" s="6"/>
      <c r="B92" s="6"/>
      <c r="C92" s="6"/>
      <c r="D92" s="6"/>
      <c r="E92" s="6"/>
      <c r="F92" s="6"/>
      <c r="G92" s="6"/>
      <c r="H92" s="6"/>
      <c r="I92" s="6"/>
    </row>
    <row r="93" spans="1:9" ht="18" customHeight="1" x14ac:dyDescent="0.3">
      <c r="A93" s="6"/>
      <c r="B93" s="6"/>
      <c r="C93" s="6"/>
      <c r="D93" s="6"/>
      <c r="E93" s="6"/>
      <c r="F93" s="6"/>
      <c r="G93" s="6"/>
      <c r="H93" s="6"/>
      <c r="I93" s="6"/>
    </row>
    <row r="94" spans="1:9" ht="18" customHeight="1" x14ac:dyDescent="0.3">
      <c r="A94" s="70" t="s">
        <v>28</v>
      </c>
      <c r="B94" s="71"/>
      <c r="C94" s="71"/>
      <c r="D94" s="71"/>
      <c r="E94" s="71"/>
      <c r="F94" s="71"/>
      <c r="G94" s="71"/>
      <c r="H94" s="71"/>
      <c r="I94" s="72"/>
    </row>
    <row r="95" spans="1:9" ht="28.8" x14ac:dyDescent="0.3">
      <c r="A95" s="3" t="s">
        <v>0</v>
      </c>
      <c r="B95" s="3" t="s">
        <v>1</v>
      </c>
      <c r="C95" s="3" t="s">
        <v>2</v>
      </c>
      <c r="D95" s="3" t="s">
        <v>3</v>
      </c>
      <c r="E95" s="3" t="s">
        <v>44</v>
      </c>
      <c r="F95" s="3" t="s">
        <v>4</v>
      </c>
      <c r="G95" s="3" t="s">
        <v>5</v>
      </c>
      <c r="H95" s="3" t="s">
        <v>6</v>
      </c>
      <c r="I95" s="3" t="s">
        <v>7</v>
      </c>
    </row>
    <row r="96" spans="1:9" ht="18" customHeight="1" x14ac:dyDescent="0.3">
      <c r="A96" s="7" t="s">
        <v>11</v>
      </c>
      <c r="B96" s="8">
        <v>34500</v>
      </c>
      <c r="C96" s="8">
        <v>31000</v>
      </c>
      <c r="D96" s="8">
        <v>28400</v>
      </c>
      <c r="E96" s="8">
        <f>SUM(F96:I96)</f>
        <v>29400</v>
      </c>
      <c r="F96" s="8">
        <v>10400</v>
      </c>
      <c r="G96" s="8">
        <v>7300</v>
      </c>
      <c r="H96" s="8">
        <v>7300</v>
      </c>
      <c r="I96" s="8">
        <v>4400</v>
      </c>
    </row>
    <row r="97" spans="1:9" ht="18" customHeight="1" x14ac:dyDescent="0.3">
      <c r="A97" s="7" t="s">
        <v>26</v>
      </c>
      <c r="B97" s="8">
        <v>41000</v>
      </c>
      <c r="C97" s="8">
        <v>37000</v>
      </c>
      <c r="D97" s="8">
        <v>33900</v>
      </c>
      <c r="E97" s="8">
        <f t="shared" ref="E97:E103" si="9">SUM(F97:I97)</f>
        <v>35100</v>
      </c>
      <c r="F97" s="8">
        <v>12400</v>
      </c>
      <c r="G97" s="8">
        <v>8700</v>
      </c>
      <c r="H97" s="8">
        <v>8700</v>
      </c>
      <c r="I97" s="8">
        <v>5300</v>
      </c>
    </row>
    <row r="98" spans="1:9" ht="18" customHeight="1" x14ac:dyDescent="0.3">
      <c r="A98" s="7" t="s">
        <v>12</v>
      </c>
      <c r="B98" s="8">
        <v>41000</v>
      </c>
      <c r="C98" s="8">
        <v>37000</v>
      </c>
      <c r="D98" s="8">
        <v>33900</v>
      </c>
      <c r="E98" s="8">
        <f t="shared" si="9"/>
        <v>35100</v>
      </c>
      <c r="F98" s="8">
        <v>12400</v>
      </c>
      <c r="G98" s="8">
        <v>8700</v>
      </c>
      <c r="H98" s="8">
        <v>8700</v>
      </c>
      <c r="I98" s="8">
        <v>5300</v>
      </c>
    </row>
    <row r="99" spans="1:9" ht="18" customHeight="1" x14ac:dyDescent="0.3">
      <c r="A99" s="7" t="s">
        <v>20</v>
      </c>
      <c r="B99" s="8">
        <v>47750</v>
      </c>
      <c r="C99" s="8">
        <v>43000</v>
      </c>
      <c r="D99" s="8">
        <v>39400</v>
      </c>
      <c r="E99" s="8">
        <f t="shared" si="9"/>
        <v>40900</v>
      </c>
      <c r="F99" s="8">
        <v>14400</v>
      </c>
      <c r="G99" s="8">
        <v>10200</v>
      </c>
      <c r="H99" s="8">
        <v>10200</v>
      </c>
      <c r="I99" s="8">
        <v>6100</v>
      </c>
    </row>
    <row r="100" spans="1:9" ht="18" customHeight="1" x14ac:dyDescent="0.3">
      <c r="A100" s="7" t="s">
        <v>13</v>
      </c>
      <c r="B100" s="8">
        <v>41000</v>
      </c>
      <c r="C100" s="8">
        <v>37000</v>
      </c>
      <c r="D100" s="8">
        <v>33900</v>
      </c>
      <c r="E100" s="8">
        <f t="shared" si="9"/>
        <v>35100</v>
      </c>
      <c r="F100" s="8">
        <v>12400</v>
      </c>
      <c r="G100" s="8">
        <v>8700</v>
      </c>
      <c r="H100" s="8">
        <v>8700</v>
      </c>
      <c r="I100" s="8">
        <v>5300</v>
      </c>
    </row>
    <row r="101" spans="1:9" ht="18" customHeight="1" x14ac:dyDescent="0.3">
      <c r="A101" s="7" t="s">
        <v>21</v>
      </c>
      <c r="B101" s="8">
        <v>47750</v>
      </c>
      <c r="C101" s="8">
        <v>43000</v>
      </c>
      <c r="D101" s="8">
        <v>39400</v>
      </c>
      <c r="E101" s="8">
        <f t="shared" si="9"/>
        <v>40900</v>
      </c>
      <c r="F101" s="8">
        <v>14400</v>
      </c>
      <c r="G101" s="8">
        <v>10200</v>
      </c>
      <c r="H101" s="8">
        <v>10200</v>
      </c>
      <c r="I101" s="8">
        <v>6100</v>
      </c>
    </row>
    <row r="102" spans="1:9" ht="18" customHeight="1" x14ac:dyDescent="0.3">
      <c r="A102" s="7" t="s">
        <v>27</v>
      </c>
      <c r="B102" s="8">
        <v>54500</v>
      </c>
      <c r="C102" s="8">
        <v>49000</v>
      </c>
      <c r="D102" s="8">
        <v>44900</v>
      </c>
      <c r="E102" s="8">
        <f t="shared" si="9"/>
        <v>46600</v>
      </c>
      <c r="F102" s="8">
        <v>16400</v>
      </c>
      <c r="G102" s="8">
        <v>11600</v>
      </c>
      <c r="H102" s="8">
        <v>11600</v>
      </c>
      <c r="I102" s="8">
        <v>7000</v>
      </c>
    </row>
    <row r="103" spans="1:9" ht="18" customHeight="1" x14ac:dyDescent="0.3">
      <c r="A103" s="7" t="s">
        <v>15</v>
      </c>
      <c r="B103" s="8">
        <v>54500</v>
      </c>
      <c r="C103" s="8">
        <v>49000</v>
      </c>
      <c r="D103" s="8">
        <v>44900</v>
      </c>
      <c r="E103" s="8">
        <f t="shared" si="9"/>
        <v>46600</v>
      </c>
      <c r="F103" s="8">
        <v>16400</v>
      </c>
      <c r="G103" s="8">
        <v>11600</v>
      </c>
      <c r="H103" s="8">
        <v>11600</v>
      </c>
      <c r="I103" s="8">
        <v>7000</v>
      </c>
    </row>
    <row r="104" spans="1:9" ht="18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</row>
    <row r="105" spans="1:9" ht="18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</row>
    <row r="106" spans="1:9" ht="18" customHeight="1" x14ac:dyDescent="0.3">
      <c r="A106" s="73" t="s">
        <v>29</v>
      </c>
      <c r="B106" s="74"/>
      <c r="C106" s="74"/>
      <c r="D106" s="74"/>
      <c r="E106" s="74"/>
      <c r="F106" s="74"/>
      <c r="G106" s="74"/>
      <c r="H106" s="74"/>
      <c r="I106" s="74"/>
    </row>
    <row r="107" spans="1:9" ht="28.8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44</v>
      </c>
      <c r="F107" s="1" t="s">
        <v>4</v>
      </c>
      <c r="G107" s="1" t="s">
        <v>5</v>
      </c>
      <c r="H107" s="1" t="s">
        <v>6</v>
      </c>
      <c r="I107" s="1" t="s">
        <v>7</v>
      </c>
    </row>
    <row r="108" spans="1:9" ht="18" customHeight="1" x14ac:dyDescent="0.3">
      <c r="A108" s="5" t="s">
        <v>12</v>
      </c>
      <c r="B108" s="5">
        <v>34500</v>
      </c>
      <c r="C108" s="5">
        <v>31000</v>
      </c>
      <c r="D108" s="5">
        <v>28400</v>
      </c>
      <c r="E108" s="5">
        <f>SUM(F108:I108)</f>
        <v>29500</v>
      </c>
      <c r="F108" s="5">
        <v>10400</v>
      </c>
      <c r="G108" s="5">
        <v>7300</v>
      </c>
      <c r="H108" s="5">
        <v>7300</v>
      </c>
      <c r="I108" s="5">
        <v>4500</v>
      </c>
    </row>
    <row r="109" spans="1:9" ht="18" customHeight="1" x14ac:dyDescent="0.3">
      <c r="A109" s="5" t="s">
        <v>20</v>
      </c>
      <c r="B109" s="5">
        <v>47500</v>
      </c>
      <c r="C109" s="5">
        <v>43000</v>
      </c>
      <c r="D109" s="5">
        <v>39400</v>
      </c>
      <c r="E109" s="5">
        <f t="shared" ref="E109:E113" si="10">SUM(F109:I109)</f>
        <v>40900</v>
      </c>
      <c r="F109" s="5">
        <v>14400</v>
      </c>
      <c r="G109" s="5">
        <v>10200</v>
      </c>
      <c r="H109" s="5">
        <v>10200</v>
      </c>
      <c r="I109" s="5">
        <v>6100</v>
      </c>
    </row>
    <row r="110" spans="1:9" ht="18" customHeight="1" x14ac:dyDescent="0.3">
      <c r="A110" s="5" t="s">
        <v>13</v>
      </c>
      <c r="B110" s="5">
        <v>34500</v>
      </c>
      <c r="C110" s="5">
        <v>31000</v>
      </c>
      <c r="D110" s="5">
        <v>28400</v>
      </c>
      <c r="E110" s="5">
        <f t="shared" si="10"/>
        <v>29500</v>
      </c>
      <c r="F110" s="5">
        <v>10400</v>
      </c>
      <c r="G110" s="5">
        <v>7300</v>
      </c>
      <c r="H110" s="5">
        <v>7300</v>
      </c>
      <c r="I110" s="5">
        <v>4500</v>
      </c>
    </row>
    <row r="111" spans="1:9" ht="18" customHeight="1" x14ac:dyDescent="0.3">
      <c r="A111" s="5" t="s">
        <v>21</v>
      </c>
      <c r="B111" s="5">
        <v>47500</v>
      </c>
      <c r="C111" s="5">
        <v>43000</v>
      </c>
      <c r="D111" s="5">
        <v>39400</v>
      </c>
      <c r="E111" s="5">
        <f t="shared" si="10"/>
        <v>40900</v>
      </c>
      <c r="F111" s="5">
        <v>14400</v>
      </c>
      <c r="G111" s="5">
        <v>10200</v>
      </c>
      <c r="H111" s="5">
        <v>10200</v>
      </c>
      <c r="I111" s="5">
        <v>6100</v>
      </c>
    </row>
    <row r="112" spans="1:9" ht="18" customHeight="1" x14ac:dyDescent="0.3">
      <c r="A112" s="5" t="s">
        <v>27</v>
      </c>
      <c r="B112" s="5">
        <v>61000</v>
      </c>
      <c r="C112" s="5">
        <v>55000</v>
      </c>
      <c r="D112" s="5">
        <v>50400</v>
      </c>
      <c r="E112" s="5">
        <f t="shared" si="10"/>
        <v>52300</v>
      </c>
      <c r="F112" s="5">
        <v>18500</v>
      </c>
      <c r="G112" s="5">
        <v>13000</v>
      </c>
      <c r="H112" s="5">
        <v>13000</v>
      </c>
      <c r="I112" s="5">
        <v>7800</v>
      </c>
    </row>
    <row r="113" spans="1:9" ht="18" customHeight="1" x14ac:dyDescent="0.3">
      <c r="A113" s="5" t="s">
        <v>15</v>
      </c>
      <c r="B113" s="5">
        <v>61000</v>
      </c>
      <c r="C113" s="5">
        <v>55000</v>
      </c>
      <c r="D113" s="5">
        <v>50400</v>
      </c>
      <c r="E113" s="5">
        <f t="shared" si="10"/>
        <v>52300</v>
      </c>
      <c r="F113" s="5">
        <v>18500</v>
      </c>
      <c r="G113" s="5">
        <v>13000</v>
      </c>
      <c r="H113" s="5">
        <v>13000</v>
      </c>
      <c r="I113" s="5">
        <v>7800</v>
      </c>
    </row>
    <row r="114" spans="1:9" ht="18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</row>
    <row r="115" spans="1:9" ht="18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</row>
    <row r="116" spans="1:9" ht="18" customHeight="1" x14ac:dyDescent="0.3">
      <c r="A116" s="70" t="s">
        <v>30</v>
      </c>
      <c r="B116" s="71"/>
      <c r="C116" s="71"/>
      <c r="D116" s="71"/>
      <c r="E116" s="71"/>
      <c r="F116" s="71"/>
      <c r="G116" s="71"/>
      <c r="H116" s="71"/>
      <c r="I116" s="72"/>
    </row>
    <row r="117" spans="1:9" ht="28.8" x14ac:dyDescent="0.3">
      <c r="A117" s="3" t="s">
        <v>0</v>
      </c>
      <c r="B117" s="3" t="s">
        <v>1</v>
      </c>
      <c r="C117" s="3" t="s">
        <v>2</v>
      </c>
      <c r="D117" s="3" t="s">
        <v>3</v>
      </c>
      <c r="E117" s="3" t="s">
        <v>44</v>
      </c>
      <c r="F117" s="3" t="s">
        <v>4</v>
      </c>
      <c r="G117" s="3" t="s">
        <v>5</v>
      </c>
      <c r="H117" s="3" t="s">
        <v>6</v>
      </c>
      <c r="I117" s="3" t="s">
        <v>7</v>
      </c>
    </row>
    <row r="118" spans="1:9" ht="18" customHeight="1" x14ac:dyDescent="0.3">
      <c r="A118" s="4" t="s">
        <v>12</v>
      </c>
      <c r="B118" s="4">
        <v>47500</v>
      </c>
      <c r="C118" s="4">
        <v>43000</v>
      </c>
      <c r="D118" s="4">
        <v>39400</v>
      </c>
      <c r="E118" s="4">
        <f>SUM(F118:I118)</f>
        <v>40800</v>
      </c>
      <c r="F118" s="4">
        <v>14300</v>
      </c>
      <c r="G118" s="4">
        <v>10200</v>
      </c>
      <c r="H118" s="4">
        <v>10200</v>
      </c>
      <c r="I118" s="4">
        <v>6100</v>
      </c>
    </row>
    <row r="119" spans="1:9" ht="18" customHeight="1" x14ac:dyDescent="0.3">
      <c r="A119" s="4" t="s">
        <v>20</v>
      </c>
      <c r="B119" s="4">
        <v>61000</v>
      </c>
      <c r="C119" s="4">
        <v>55000</v>
      </c>
      <c r="D119" s="4">
        <v>50400</v>
      </c>
      <c r="E119" s="4">
        <f t="shared" ref="E119:E123" si="11">SUM(F119:I119)</f>
        <v>52200</v>
      </c>
      <c r="F119" s="4">
        <v>18400</v>
      </c>
      <c r="G119" s="4">
        <v>13000</v>
      </c>
      <c r="H119" s="4">
        <v>13000</v>
      </c>
      <c r="I119" s="4">
        <v>7800</v>
      </c>
    </row>
    <row r="120" spans="1:9" ht="18" customHeight="1" x14ac:dyDescent="0.3">
      <c r="A120" s="4" t="s">
        <v>13</v>
      </c>
      <c r="B120" s="4">
        <v>47500</v>
      </c>
      <c r="C120" s="4">
        <v>43000</v>
      </c>
      <c r="D120" s="4">
        <v>39400</v>
      </c>
      <c r="E120" s="4">
        <f t="shared" si="11"/>
        <v>40800</v>
      </c>
      <c r="F120" s="4">
        <v>14300</v>
      </c>
      <c r="G120" s="4">
        <v>10200</v>
      </c>
      <c r="H120" s="4">
        <v>10200</v>
      </c>
      <c r="I120" s="4">
        <v>6100</v>
      </c>
    </row>
    <row r="121" spans="1:9" ht="18" customHeight="1" x14ac:dyDescent="0.3">
      <c r="A121" s="4" t="s">
        <v>21</v>
      </c>
      <c r="B121" s="4">
        <v>61000</v>
      </c>
      <c r="C121" s="4">
        <v>55000</v>
      </c>
      <c r="D121" s="4">
        <v>50400</v>
      </c>
      <c r="E121" s="4">
        <f t="shared" si="11"/>
        <v>52200</v>
      </c>
      <c r="F121" s="4">
        <v>18400</v>
      </c>
      <c r="G121" s="4">
        <v>13000</v>
      </c>
      <c r="H121" s="4">
        <v>13000</v>
      </c>
      <c r="I121" s="4">
        <v>7800</v>
      </c>
    </row>
    <row r="122" spans="1:9" ht="18" customHeight="1" x14ac:dyDescent="0.3">
      <c r="A122" s="8" t="s">
        <v>27</v>
      </c>
      <c r="B122" s="7">
        <v>74500</v>
      </c>
      <c r="C122" s="7">
        <v>67000</v>
      </c>
      <c r="D122" s="7">
        <v>61400</v>
      </c>
      <c r="E122" s="4">
        <f t="shared" si="11"/>
        <v>63600</v>
      </c>
      <c r="F122" s="7">
        <v>22300</v>
      </c>
      <c r="G122" s="7">
        <v>15900</v>
      </c>
      <c r="H122" s="7">
        <v>15900</v>
      </c>
      <c r="I122" s="7">
        <v>9500</v>
      </c>
    </row>
    <row r="123" spans="1:9" ht="18" customHeight="1" x14ac:dyDescent="0.3">
      <c r="A123" s="8" t="s">
        <v>15</v>
      </c>
      <c r="B123" s="7">
        <v>74500</v>
      </c>
      <c r="C123" s="7">
        <v>67000</v>
      </c>
      <c r="D123" s="7">
        <v>61400</v>
      </c>
      <c r="E123" s="4">
        <f t="shared" si="11"/>
        <v>63600</v>
      </c>
      <c r="F123" s="7">
        <v>22300</v>
      </c>
      <c r="G123" s="7">
        <v>15900</v>
      </c>
      <c r="H123" s="7">
        <v>15900</v>
      </c>
      <c r="I123" s="7">
        <v>9500</v>
      </c>
    </row>
  </sheetData>
  <mergeCells count="12">
    <mergeCell ref="A106:I106"/>
    <mergeCell ref="A116:I116"/>
    <mergeCell ref="A1:I1"/>
    <mergeCell ref="A72:I72"/>
    <mergeCell ref="A82:I82"/>
    <mergeCell ref="A94:I94"/>
    <mergeCell ref="A42:I42"/>
    <mergeCell ref="A52:I52"/>
    <mergeCell ref="A63:I63"/>
    <mergeCell ref="A10:I10"/>
    <mergeCell ref="A20:I20"/>
    <mergeCell ref="A29:I29"/>
  </mergeCells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zoomScale="192" workbookViewId="0">
      <selection activeCell="A114" sqref="A114:I121"/>
    </sheetView>
  </sheetViews>
  <sheetFormatPr defaultColWidth="8.77734375" defaultRowHeight="18" customHeight="1" x14ac:dyDescent="0.3"/>
  <cols>
    <col min="1" max="3" width="13.33203125" style="27" customWidth="1"/>
    <col min="4" max="4" width="14" style="27" customWidth="1"/>
    <col min="5" max="9" width="13.33203125" style="27" customWidth="1"/>
    <col min="10" max="16384" width="8.77734375" style="27"/>
  </cols>
  <sheetData>
    <row r="1" spans="1:9" ht="18" customHeight="1" x14ac:dyDescent="0.3">
      <c r="A1" s="77" t="s">
        <v>36</v>
      </c>
      <c r="B1" s="78"/>
      <c r="C1" s="79"/>
      <c r="D1" s="79"/>
      <c r="E1" s="79"/>
      <c r="F1" s="79"/>
      <c r="G1" s="79"/>
      <c r="H1" s="79"/>
      <c r="I1" s="79"/>
    </row>
    <row r="2" spans="1:9" s="26" customFormat="1" ht="55.2" x14ac:dyDescent="0.3">
      <c r="A2" s="28" t="s">
        <v>0</v>
      </c>
      <c r="B2" s="28" t="s">
        <v>1</v>
      </c>
      <c r="C2" s="28" t="s">
        <v>8</v>
      </c>
      <c r="D2" s="36" t="s">
        <v>42</v>
      </c>
      <c r="E2" s="36" t="s">
        <v>37</v>
      </c>
      <c r="F2" s="36" t="s">
        <v>38</v>
      </c>
      <c r="G2" s="28" t="s">
        <v>41</v>
      </c>
      <c r="H2" s="28" t="s">
        <v>39</v>
      </c>
      <c r="I2" s="28" t="s">
        <v>40</v>
      </c>
    </row>
    <row r="3" spans="1:9" ht="18" customHeight="1" x14ac:dyDescent="0.3">
      <c r="A3" s="33" t="s">
        <v>11</v>
      </c>
      <c r="B3" s="2">
        <v>17000</v>
      </c>
      <c r="C3" s="29">
        <v>15400</v>
      </c>
      <c r="D3" s="37">
        <v>15000</v>
      </c>
      <c r="E3" s="37">
        <v>2600</v>
      </c>
      <c r="F3" s="37">
        <v>2000</v>
      </c>
      <c r="G3" s="29">
        <v>15400</v>
      </c>
      <c r="H3" s="29">
        <v>2000</v>
      </c>
      <c r="I3" s="29">
        <v>1400</v>
      </c>
    </row>
    <row r="4" spans="1:9" ht="18" customHeight="1" x14ac:dyDescent="0.3">
      <c r="A4" s="33" t="s">
        <v>12</v>
      </c>
      <c r="B4" s="2">
        <v>19750</v>
      </c>
      <c r="C4" s="29">
        <v>17800</v>
      </c>
      <c r="D4" s="37">
        <v>17300</v>
      </c>
      <c r="E4" s="37">
        <v>3000</v>
      </c>
      <c r="F4" s="37">
        <v>2300</v>
      </c>
      <c r="G4" s="29">
        <v>17800</v>
      </c>
      <c r="H4" s="29">
        <v>2400</v>
      </c>
      <c r="I4" s="29">
        <v>1000</v>
      </c>
    </row>
    <row r="5" spans="1:9" ht="18" customHeight="1" x14ac:dyDescent="0.3">
      <c r="A5" s="33" t="s">
        <v>13</v>
      </c>
      <c r="B5" s="2">
        <v>19750</v>
      </c>
      <c r="C5" s="29">
        <v>17800</v>
      </c>
      <c r="D5" s="37">
        <v>17300</v>
      </c>
      <c r="E5" s="37">
        <v>3000</v>
      </c>
      <c r="F5" s="37">
        <v>2300</v>
      </c>
      <c r="G5" s="29">
        <v>17800</v>
      </c>
      <c r="H5" s="29">
        <v>2400</v>
      </c>
      <c r="I5" s="29">
        <v>1000</v>
      </c>
    </row>
    <row r="6" spans="1:9" ht="18" customHeight="1" x14ac:dyDescent="0.3">
      <c r="A6" s="33" t="s">
        <v>14</v>
      </c>
      <c r="B6" s="2">
        <v>21000</v>
      </c>
      <c r="C6" s="29">
        <v>19000</v>
      </c>
      <c r="D6" s="37">
        <v>18500</v>
      </c>
      <c r="E6" s="37">
        <v>3200</v>
      </c>
      <c r="F6" s="37">
        <v>2500</v>
      </c>
      <c r="G6" s="29">
        <v>19000</v>
      </c>
      <c r="H6" s="29">
        <v>2500</v>
      </c>
      <c r="I6" s="29">
        <v>1500</v>
      </c>
    </row>
    <row r="7" spans="1:9" ht="18" customHeight="1" x14ac:dyDescent="0.3">
      <c r="A7" s="33" t="s">
        <v>15</v>
      </c>
      <c r="B7" s="2">
        <v>21000</v>
      </c>
      <c r="C7" s="29">
        <v>19000</v>
      </c>
      <c r="D7" s="37">
        <v>18500</v>
      </c>
      <c r="E7" s="37">
        <v>3200</v>
      </c>
      <c r="F7" s="37">
        <v>2500</v>
      </c>
      <c r="G7" s="29">
        <v>19000</v>
      </c>
      <c r="H7" s="29">
        <v>2500</v>
      </c>
      <c r="I7" s="29">
        <v>1500</v>
      </c>
    </row>
    <row r="10" spans="1:9" ht="18" customHeight="1" x14ac:dyDescent="0.3">
      <c r="A10" s="80" t="s">
        <v>16</v>
      </c>
      <c r="B10" s="81"/>
      <c r="C10" s="82"/>
      <c r="D10" s="82"/>
      <c r="E10" s="82"/>
      <c r="F10" s="82"/>
      <c r="G10" s="82"/>
      <c r="H10" s="82"/>
      <c r="I10" s="82"/>
    </row>
    <row r="11" spans="1:9" ht="55.2" x14ac:dyDescent="0.3">
      <c r="A11" s="30" t="s">
        <v>0</v>
      </c>
      <c r="B11" s="30" t="s">
        <v>1</v>
      </c>
      <c r="C11" s="30" t="s">
        <v>8</v>
      </c>
      <c r="D11" s="25" t="s">
        <v>42</v>
      </c>
      <c r="E11" s="25" t="s">
        <v>37</v>
      </c>
      <c r="F11" s="25" t="s">
        <v>38</v>
      </c>
      <c r="G11" s="30" t="s">
        <v>41</v>
      </c>
      <c r="H11" s="30" t="s">
        <v>39</v>
      </c>
      <c r="I11" s="30" t="s">
        <v>40</v>
      </c>
    </row>
    <row r="12" spans="1:9" ht="18" customHeight="1" x14ac:dyDescent="0.3">
      <c r="A12" s="31" t="s">
        <v>11</v>
      </c>
      <c r="B12" s="4">
        <v>27750</v>
      </c>
      <c r="C12" s="32">
        <v>25000</v>
      </c>
      <c r="D12" s="38">
        <v>24400</v>
      </c>
      <c r="E12" s="38">
        <v>4200</v>
      </c>
      <c r="F12" s="38">
        <v>3400</v>
      </c>
      <c r="G12" s="32">
        <v>25000</v>
      </c>
      <c r="H12" s="32">
        <v>3300</v>
      </c>
      <c r="I12" s="32">
        <v>1900</v>
      </c>
    </row>
    <row r="13" spans="1:9" ht="18" customHeight="1" x14ac:dyDescent="0.3">
      <c r="A13" s="31" t="s">
        <v>12</v>
      </c>
      <c r="B13" s="4">
        <v>27750</v>
      </c>
      <c r="C13" s="32">
        <v>25000</v>
      </c>
      <c r="D13" s="38">
        <v>24400</v>
      </c>
      <c r="E13" s="38">
        <v>4200</v>
      </c>
      <c r="F13" s="38">
        <v>3400</v>
      </c>
      <c r="G13" s="32">
        <v>25000</v>
      </c>
      <c r="H13" s="32">
        <v>3300</v>
      </c>
      <c r="I13" s="32">
        <v>1900</v>
      </c>
    </row>
    <row r="14" spans="1:9" ht="18" customHeight="1" x14ac:dyDescent="0.3">
      <c r="A14" s="31" t="s">
        <v>13</v>
      </c>
      <c r="B14" s="4">
        <v>27750</v>
      </c>
      <c r="C14" s="32">
        <v>25000</v>
      </c>
      <c r="D14" s="38">
        <v>24400</v>
      </c>
      <c r="E14" s="38">
        <v>4200</v>
      </c>
      <c r="F14" s="38">
        <v>3400</v>
      </c>
      <c r="G14" s="32">
        <v>25000</v>
      </c>
      <c r="H14" s="32">
        <v>3300</v>
      </c>
      <c r="I14" s="32">
        <v>1900</v>
      </c>
    </row>
    <row r="15" spans="1:9" ht="18" customHeight="1" x14ac:dyDescent="0.3">
      <c r="A15" s="31" t="s">
        <v>14</v>
      </c>
      <c r="B15" s="4">
        <v>34500</v>
      </c>
      <c r="C15" s="32">
        <v>31000</v>
      </c>
      <c r="D15" s="38">
        <v>30200</v>
      </c>
      <c r="E15" s="38">
        <v>5300</v>
      </c>
      <c r="F15" s="38">
        <v>3700</v>
      </c>
      <c r="G15" s="32">
        <v>31000</v>
      </c>
      <c r="H15" s="32">
        <v>4100</v>
      </c>
      <c r="I15" s="32">
        <v>2300</v>
      </c>
    </row>
    <row r="16" spans="1:9" ht="18" customHeight="1" x14ac:dyDescent="0.3">
      <c r="A16" s="31" t="s">
        <v>15</v>
      </c>
      <c r="B16" s="4">
        <v>34500</v>
      </c>
      <c r="C16" s="32">
        <v>31000</v>
      </c>
      <c r="D16" s="38">
        <v>30200</v>
      </c>
      <c r="E16" s="38">
        <v>5300</v>
      </c>
      <c r="F16" s="38">
        <v>3700</v>
      </c>
      <c r="G16" s="32">
        <v>31000</v>
      </c>
      <c r="H16" s="32">
        <v>4100</v>
      </c>
      <c r="I16" s="32">
        <v>2300</v>
      </c>
    </row>
    <row r="19" spans="1:9" ht="18" customHeight="1" x14ac:dyDescent="0.3">
      <c r="A19" s="77" t="s">
        <v>17</v>
      </c>
      <c r="B19" s="78"/>
      <c r="C19" s="79"/>
      <c r="D19" s="79"/>
      <c r="E19" s="79"/>
      <c r="F19" s="79"/>
      <c r="G19" s="79"/>
      <c r="H19" s="79"/>
      <c r="I19" s="79"/>
    </row>
    <row r="20" spans="1:9" ht="55.2" x14ac:dyDescent="0.3">
      <c r="A20" s="28" t="s">
        <v>0</v>
      </c>
      <c r="B20" s="28" t="s">
        <v>1</v>
      </c>
      <c r="C20" s="28" t="s">
        <v>8</v>
      </c>
      <c r="D20" s="34" t="s">
        <v>42</v>
      </c>
      <c r="E20" s="34" t="s">
        <v>37</v>
      </c>
      <c r="F20" s="34" t="s">
        <v>38</v>
      </c>
      <c r="G20" s="28" t="s">
        <v>41</v>
      </c>
      <c r="H20" s="28" t="s">
        <v>39</v>
      </c>
      <c r="I20" s="28" t="s">
        <v>40</v>
      </c>
    </row>
    <row r="21" spans="1:9" ht="18" customHeight="1" x14ac:dyDescent="0.3">
      <c r="A21" s="33" t="s">
        <v>12</v>
      </c>
      <c r="B21" s="2">
        <v>19750</v>
      </c>
      <c r="C21" s="29">
        <v>17800</v>
      </c>
      <c r="D21" s="35">
        <v>17400</v>
      </c>
      <c r="E21" s="35">
        <v>3000</v>
      </c>
      <c r="F21" s="35">
        <v>2400</v>
      </c>
      <c r="G21" s="29">
        <v>17800</v>
      </c>
      <c r="H21" s="29">
        <v>2400</v>
      </c>
      <c r="I21" s="29">
        <v>1000</v>
      </c>
    </row>
    <row r="22" spans="1:9" ht="18" customHeight="1" x14ac:dyDescent="0.3">
      <c r="A22" s="33" t="s">
        <v>13</v>
      </c>
      <c r="B22" s="2">
        <v>19750</v>
      </c>
      <c r="C22" s="29">
        <v>17800</v>
      </c>
      <c r="D22" s="35">
        <v>17400</v>
      </c>
      <c r="E22" s="35">
        <v>3000</v>
      </c>
      <c r="F22" s="35">
        <v>2400</v>
      </c>
      <c r="G22" s="29">
        <v>17800</v>
      </c>
      <c r="H22" s="29">
        <v>2400</v>
      </c>
      <c r="I22" s="29">
        <v>1000</v>
      </c>
    </row>
    <row r="23" spans="1:9" ht="18" customHeight="1" x14ac:dyDescent="0.3">
      <c r="A23" s="33" t="s">
        <v>14</v>
      </c>
      <c r="B23" s="2">
        <v>21000</v>
      </c>
      <c r="C23" s="29">
        <v>19000</v>
      </c>
      <c r="D23" s="35">
        <v>18500</v>
      </c>
      <c r="E23" s="35">
        <v>3200</v>
      </c>
      <c r="F23" s="35">
        <v>2500</v>
      </c>
      <c r="G23" s="29">
        <v>19000</v>
      </c>
      <c r="H23" s="29">
        <v>2500</v>
      </c>
      <c r="I23" s="29">
        <v>1500</v>
      </c>
    </row>
    <row r="24" spans="1:9" ht="18" customHeight="1" x14ac:dyDescent="0.3">
      <c r="A24" s="33" t="s">
        <v>15</v>
      </c>
      <c r="B24" s="2">
        <v>21000</v>
      </c>
      <c r="C24" s="29">
        <v>19000</v>
      </c>
      <c r="D24" s="35">
        <v>18500</v>
      </c>
      <c r="E24" s="35">
        <v>3200</v>
      </c>
      <c r="F24" s="35">
        <v>2500</v>
      </c>
      <c r="G24" s="29">
        <v>19000</v>
      </c>
      <c r="H24" s="29">
        <v>2500</v>
      </c>
      <c r="I24" s="29">
        <v>1500</v>
      </c>
    </row>
    <row r="27" spans="1:9" ht="18" customHeight="1" x14ac:dyDescent="0.3">
      <c r="A27" s="80" t="s">
        <v>18</v>
      </c>
      <c r="B27" s="81"/>
      <c r="C27" s="82"/>
      <c r="D27" s="82"/>
      <c r="E27" s="82"/>
      <c r="F27" s="82"/>
      <c r="G27" s="82"/>
      <c r="H27" s="82"/>
      <c r="I27" s="82"/>
    </row>
    <row r="28" spans="1:9" ht="55.2" x14ac:dyDescent="0.3">
      <c r="A28" s="30" t="s">
        <v>0</v>
      </c>
      <c r="B28" s="30" t="s">
        <v>1</v>
      </c>
      <c r="C28" s="30" t="s">
        <v>8</v>
      </c>
      <c r="D28" s="25" t="s">
        <v>42</v>
      </c>
      <c r="E28" s="25" t="s">
        <v>37</v>
      </c>
      <c r="F28" s="25" t="s">
        <v>38</v>
      </c>
      <c r="G28" s="30" t="s">
        <v>41</v>
      </c>
      <c r="H28" s="30" t="s">
        <v>39</v>
      </c>
      <c r="I28" s="30" t="s">
        <v>40</v>
      </c>
    </row>
    <row r="29" spans="1:9" ht="18" customHeight="1" x14ac:dyDescent="0.3">
      <c r="A29" s="31" t="s">
        <v>12</v>
      </c>
      <c r="B29" s="4">
        <v>27750</v>
      </c>
      <c r="C29" s="32">
        <v>25000</v>
      </c>
      <c r="D29" s="38">
        <v>24400</v>
      </c>
      <c r="E29" s="38">
        <v>4200</v>
      </c>
      <c r="F29" s="38">
        <v>3400</v>
      </c>
      <c r="G29" s="32">
        <v>25000</v>
      </c>
      <c r="H29" s="32">
        <v>3300</v>
      </c>
      <c r="I29" s="32">
        <v>1900</v>
      </c>
    </row>
    <row r="30" spans="1:9" ht="18" customHeight="1" x14ac:dyDescent="0.3">
      <c r="A30" s="31" t="s">
        <v>13</v>
      </c>
      <c r="B30" s="4">
        <v>27750</v>
      </c>
      <c r="C30" s="32">
        <v>25000</v>
      </c>
      <c r="D30" s="38">
        <v>24400</v>
      </c>
      <c r="E30" s="38">
        <v>4200</v>
      </c>
      <c r="F30" s="38">
        <v>3400</v>
      </c>
      <c r="G30" s="32">
        <v>25000</v>
      </c>
      <c r="H30" s="32">
        <v>3300</v>
      </c>
      <c r="I30" s="32">
        <v>1900</v>
      </c>
    </row>
    <row r="31" spans="1:9" ht="18" customHeight="1" x14ac:dyDescent="0.3">
      <c r="A31" s="31" t="s">
        <v>14</v>
      </c>
      <c r="B31" s="4">
        <v>34500</v>
      </c>
      <c r="C31" s="32">
        <v>31000</v>
      </c>
      <c r="D31" s="38">
        <v>30200</v>
      </c>
      <c r="E31" s="38">
        <v>5300</v>
      </c>
      <c r="F31" s="38">
        <v>3700</v>
      </c>
      <c r="G31" s="32">
        <v>31000</v>
      </c>
      <c r="H31" s="32">
        <v>4100</v>
      </c>
      <c r="I31" s="32">
        <v>2300</v>
      </c>
    </row>
    <row r="32" spans="1:9" ht="18" customHeight="1" x14ac:dyDescent="0.3">
      <c r="A32" s="31" t="s">
        <v>15</v>
      </c>
      <c r="B32" s="4">
        <v>34500</v>
      </c>
      <c r="C32" s="32">
        <v>31000</v>
      </c>
      <c r="D32" s="38">
        <v>30200</v>
      </c>
      <c r="E32" s="38">
        <v>5300</v>
      </c>
      <c r="F32" s="38">
        <v>3700</v>
      </c>
      <c r="G32" s="32">
        <v>31000</v>
      </c>
      <c r="H32" s="32">
        <v>4100</v>
      </c>
      <c r="I32" s="32">
        <v>2300</v>
      </c>
    </row>
    <row r="40" spans="1:9" ht="18" customHeight="1" x14ac:dyDescent="0.3">
      <c r="A40" s="77" t="s">
        <v>19</v>
      </c>
      <c r="B40" s="78"/>
      <c r="C40" s="79"/>
      <c r="D40" s="79"/>
      <c r="E40" s="79"/>
      <c r="F40" s="79"/>
      <c r="G40" s="79"/>
      <c r="H40" s="79"/>
      <c r="I40" s="79"/>
    </row>
    <row r="41" spans="1:9" ht="55.2" x14ac:dyDescent="0.3">
      <c r="A41" s="28" t="s">
        <v>0</v>
      </c>
      <c r="B41" s="28" t="s">
        <v>1</v>
      </c>
      <c r="C41" s="28" t="s">
        <v>8</v>
      </c>
      <c r="D41" s="34" t="s">
        <v>42</v>
      </c>
      <c r="E41" s="34" t="s">
        <v>37</v>
      </c>
      <c r="F41" s="34" t="s">
        <v>38</v>
      </c>
      <c r="G41" s="28" t="s">
        <v>41</v>
      </c>
      <c r="H41" s="28" t="s">
        <v>39</v>
      </c>
      <c r="I41" s="28" t="s">
        <v>40</v>
      </c>
    </row>
    <row r="42" spans="1:9" ht="18" customHeight="1" x14ac:dyDescent="0.3">
      <c r="A42" s="33" t="s">
        <v>12</v>
      </c>
      <c r="B42" s="2">
        <v>19750</v>
      </c>
      <c r="C42" s="29">
        <v>17800</v>
      </c>
      <c r="D42" s="35">
        <v>17400</v>
      </c>
      <c r="E42" s="35">
        <v>3000</v>
      </c>
      <c r="F42" s="35">
        <v>2400</v>
      </c>
      <c r="G42" s="29">
        <v>17800</v>
      </c>
      <c r="H42" s="29">
        <v>2400</v>
      </c>
      <c r="I42" s="29">
        <v>1000</v>
      </c>
    </row>
    <row r="43" spans="1:9" ht="18" customHeight="1" x14ac:dyDescent="0.3">
      <c r="A43" s="33" t="s">
        <v>20</v>
      </c>
      <c r="B43" s="2">
        <v>27750</v>
      </c>
      <c r="C43" s="29">
        <v>25000</v>
      </c>
      <c r="D43" s="35">
        <v>24400</v>
      </c>
      <c r="E43" s="35">
        <v>4200</v>
      </c>
      <c r="F43" s="35">
        <v>3400</v>
      </c>
      <c r="G43" s="29">
        <v>25000</v>
      </c>
      <c r="H43" s="29">
        <v>3300</v>
      </c>
      <c r="I43" s="29">
        <v>1900</v>
      </c>
    </row>
    <row r="44" spans="1:9" ht="18" customHeight="1" x14ac:dyDescent="0.3">
      <c r="A44" s="33" t="s">
        <v>13</v>
      </c>
      <c r="B44" s="2">
        <v>19750</v>
      </c>
      <c r="C44" s="29">
        <v>17800</v>
      </c>
      <c r="D44" s="35">
        <v>17400</v>
      </c>
      <c r="E44" s="35">
        <v>3000</v>
      </c>
      <c r="F44" s="35">
        <v>2400</v>
      </c>
      <c r="G44" s="29">
        <v>17800</v>
      </c>
      <c r="H44" s="29">
        <v>2400</v>
      </c>
      <c r="I44" s="29">
        <v>1000</v>
      </c>
    </row>
    <row r="45" spans="1:9" ht="18" customHeight="1" x14ac:dyDescent="0.3">
      <c r="A45" s="33" t="s">
        <v>21</v>
      </c>
      <c r="B45" s="2">
        <v>27750</v>
      </c>
      <c r="C45" s="29">
        <v>25000</v>
      </c>
      <c r="D45" s="35">
        <v>24400</v>
      </c>
      <c r="E45" s="35">
        <v>4200</v>
      </c>
      <c r="F45" s="35">
        <v>3400</v>
      </c>
      <c r="G45" s="29">
        <v>25000</v>
      </c>
      <c r="H45" s="29">
        <v>3300</v>
      </c>
      <c r="I45" s="29">
        <v>1900</v>
      </c>
    </row>
    <row r="50" spans="1:9" ht="18" customHeight="1" x14ac:dyDescent="0.3">
      <c r="A50" s="80" t="s">
        <v>22</v>
      </c>
      <c r="B50" s="81"/>
      <c r="C50" s="82"/>
      <c r="D50" s="82"/>
      <c r="E50" s="82"/>
      <c r="F50" s="82"/>
      <c r="G50" s="82"/>
      <c r="H50" s="82"/>
      <c r="I50" s="82"/>
    </row>
    <row r="51" spans="1:9" ht="55.2" x14ac:dyDescent="0.3">
      <c r="A51" s="30" t="s">
        <v>0</v>
      </c>
      <c r="B51" s="30" t="s">
        <v>1</v>
      </c>
      <c r="C51" s="30" t="s">
        <v>8</v>
      </c>
      <c r="D51" s="25" t="s">
        <v>42</v>
      </c>
      <c r="E51" s="25" t="s">
        <v>37</v>
      </c>
      <c r="F51" s="25" t="s">
        <v>38</v>
      </c>
      <c r="G51" s="30" t="s">
        <v>41</v>
      </c>
      <c r="H51" s="30" t="s">
        <v>39</v>
      </c>
      <c r="I51" s="30" t="s">
        <v>40</v>
      </c>
    </row>
    <row r="52" spans="1:9" ht="18" customHeight="1" x14ac:dyDescent="0.3">
      <c r="A52" s="31" t="s">
        <v>12</v>
      </c>
      <c r="B52" s="4">
        <v>27750</v>
      </c>
      <c r="C52" s="32">
        <v>25000</v>
      </c>
      <c r="D52" s="38">
        <v>24400</v>
      </c>
      <c r="E52" s="38">
        <v>4200</v>
      </c>
      <c r="F52" s="38">
        <v>3400</v>
      </c>
      <c r="G52" s="32">
        <v>25000</v>
      </c>
      <c r="H52" s="32">
        <v>3300</v>
      </c>
      <c r="I52" s="32">
        <v>1900</v>
      </c>
    </row>
    <row r="53" spans="1:9" ht="18" customHeight="1" x14ac:dyDescent="0.3">
      <c r="A53" s="31" t="s">
        <v>20</v>
      </c>
      <c r="B53" s="4">
        <v>41000</v>
      </c>
      <c r="C53" s="32">
        <v>37000</v>
      </c>
      <c r="D53" s="38">
        <v>36100</v>
      </c>
      <c r="E53" s="38">
        <v>6300</v>
      </c>
      <c r="F53" s="38">
        <v>4600</v>
      </c>
      <c r="G53" s="32">
        <v>37000</v>
      </c>
      <c r="H53" s="32">
        <v>4900</v>
      </c>
      <c r="I53" s="32">
        <v>2700</v>
      </c>
    </row>
    <row r="54" spans="1:9" ht="18" customHeight="1" x14ac:dyDescent="0.3">
      <c r="A54" s="31" t="s">
        <v>13</v>
      </c>
      <c r="B54" s="4">
        <v>27750</v>
      </c>
      <c r="C54" s="32">
        <v>25000</v>
      </c>
      <c r="D54" s="38">
        <v>24400</v>
      </c>
      <c r="E54" s="38">
        <v>4200</v>
      </c>
      <c r="F54" s="38">
        <v>3400</v>
      </c>
      <c r="G54" s="32">
        <v>25000</v>
      </c>
      <c r="H54" s="32">
        <v>3300</v>
      </c>
      <c r="I54" s="32">
        <v>1900</v>
      </c>
    </row>
    <row r="55" spans="1:9" ht="18" customHeight="1" x14ac:dyDescent="0.3">
      <c r="A55" s="31" t="s">
        <v>21</v>
      </c>
      <c r="B55" s="4">
        <v>41000</v>
      </c>
      <c r="C55" s="32">
        <v>37000</v>
      </c>
      <c r="D55" s="38">
        <v>36100</v>
      </c>
      <c r="E55" s="38">
        <v>6300</v>
      </c>
      <c r="F55" s="38">
        <v>4600</v>
      </c>
      <c r="G55" s="32">
        <v>37000</v>
      </c>
      <c r="H55" s="32">
        <v>4900</v>
      </c>
      <c r="I55" s="32">
        <v>2700</v>
      </c>
    </row>
    <row r="61" spans="1:9" ht="18" customHeight="1" x14ac:dyDescent="0.3">
      <c r="A61" s="77" t="s">
        <v>23</v>
      </c>
      <c r="B61" s="78"/>
      <c r="C61" s="79"/>
      <c r="D61" s="79"/>
      <c r="E61" s="79"/>
      <c r="F61" s="79"/>
      <c r="G61" s="79"/>
      <c r="H61" s="79"/>
      <c r="I61" s="79"/>
    </row>
    <row r="62" spans="1:9" ht="55.2" x14ac:dyDescent="0.3">
      <c r="A62" s="28" t="s">
        <v>0</v>
      </c>
      <c r="B62" s="28" t="s">
        <v>1</v>
      </c>
      <c r="C62" s="28" t="s">
        <v>8</v>
      </c>
      <c r="D62" s="34" t="s">
        <v>42</v>
      </c>
      <c r="E62" s="34" t="s">
        <v>37</v>
      </c>
      <c r="F62" s="34" t="s">
        <v>38</v>
      </c>
      <c r="G62" s="28" t="s">
        <v>41</v>
      </c>
      <c r="H62" s="28" t="s">
        <v>39</v>
      </c>
      <c r="I62" s="28" t="s">
        <v>40</v>
      </c>
    </row>
    <row r="63" spans="1:9" ht="18" customHeight="1" x14ac:dyDescent="0.3">
      <c r="A63" s="33" t="s">
        <v>20</v>
      </c>
      <c r="B63" s="2">
        <v>48500</v>
      </c>
      <c r="C63" s="29">
        <v>43000</v>
      </c>
      <c r="D63" s="35">
        <v>41900</v>
      </c>
      <c r="E63" s="35">
        <v>7300</v>
      </c>
      <c r="F63" s="35">
        <v>5400</v>
      </c>
      <c r="G63" s="29">
        <v>43000</v>
      </c>
      <c r="H63" s="29">
        <v>5700</v>
      </c>
      <c r="I63" s="29">
        <v>3100</v>
      </c>
    </row>
    <row r="64" spans="1:9" ht="18" customHeight="1" x14ac:dyDescent="0.3">
      <c r="A64" s="33" t="s">
        <v>21</v>
      </c>
      <c r="B64" s="2">
        <v>48500</v>
      </c>
      <c r="C64" s="29">
        <v>43000</v>
      </c>
      <c r="D64" s="35">
        <v>41900</v>
      </c>
      <c r="E64" s="35">
        <v>7300</v>
      </c>
      <c r="F64" s="35">
        <v>5400</v>
      </c>
      <c r="G64" s="29">
        <v>43000</v>
      </c>
      <c r="H64" s="29">
        <v>5700</v>
      </c>
      <c r="I64" s="29">
        <v>3100</v>
      </c>
    </row>
    <row r="65" spans="1:9" ht="18" customHeight="1" x14ac:dyDescent="0.3">
      <c r="A65" s="33" t="s">
        <v>14</v>
      </c>
      <c r="B65" s="2">
        <v>68500</v>
      </c>
      <c r="C65" s="29">
        <v>61000</v>
      </c>
      <c r="D65" s="35">
        <v>59500</v>
      </c>
      <c r="E65" s="35">
        <v>10300</v>
      </c>
      <c r="F65" s="35">
        <v>8000</v>
      </c>
      <c r="G65" s="29">
        <v>61000</v>
      </c>
      <c r="H65" s="29">
        <v>8100</v>
      </c>
      <c r="I65" s="29">
        <v>4300</v>
      </c>
    </row>
    <row r="66" spans="1:9" ht="18" customHeight="1" x14ac:dyDescent="0.3">
      <c r="A66" s="33" t="s">
        <v>15</v>
      </c>
      <c r="B66" s="2">
        <v>68500</v>
      </c>
      <c r="C66" s="29">
        <v>61000</v>
      </c>
      <c r="D66" s="35">
        <v>59500</v>
      </c>
      <c r="E66" s="35">
        <v>10300</v>
      </c>
      <c r="F66" s="35">
        <v>8000</v>
      </c>
      <c r="G66" s="29">
        <v>61000</v>
      </c>
      <c r="H66" s="29">
        <v>8100</v>
      </c>
      <c r="I66" s="29">
        <v>4300</v>
      </c>
    </row>
    <row r="70" spans="1:9" ht="18" customHeight="1" x14ac:dyDescent="0.3">
      <c r="A70" s="80" t="s">
        <v>24</v>
      </c>
      <c r="B70" s="81"/>
      <c r="C70" s="82"/>
      <c r="D70" s="82"/>
      <c r="E70" s="82"/>
      <c r="F70" s="82"/>
      <c r="G70" s="82"/>
      <c r="H70" s="82"/>
      <c r="I70" s="82"/>
    </row>
    <row r="71" spans="1:9" ht="55.2" x14ac:dyDescent="0.3">
      <c r="A71" s="30" t="s">
        <v>0</v>
      </c>
      <c r="B71" s="30" t="s">
        <v>1</v>
      </c>
      <c r="C71" s="30" t="s">
        <v>8</v>
      </c>
      <c r="D71" s="25" t="s">
        <v>42</v>
      </c>
      <c r="E71" s="25" t="s">
        <v>37</v>
      </c>
      <c r="F71" s="25" t="s">
        <v>38</v>
      </c>
      <c r="G71" s="30" t="s">
        <v>41</v>
      </c>
      <c r="H71" s="30" t="s">
        <v>39</v>
      </c>
      <c r="I71" s="30" t="s">
        <v>40</v>
      </c>
    </row>
    <row r="72" spans="1:9" ht="18" customHeight="1" x14ac:dyDescent="0.3">
      <c r="A72" s="31" t="s">
        <v>20</v>
      </c>
      <c r="B72" s="4">
        <v>61000</v>
      </c>
      <c r="C72" s="32">
        <v>55000</v>
      </c>
      <c r="D72" s="38">
        <v>53600</v>
      </c>
      <c r="E72" s="38">
        <v>9300</v>
      </c>
      <c r="F72" s="38">
        <v>7100</v>
      </c>
      <c r="G72" s="32">
        <v>55000</v>
      </c>
      <c r="H72" s="32">
        <v>7300</v>
      </c>
      <c r="I72" s="32">
        <v>3900</v>
      </c>
    </row>
    <row r="73" spans="1:9" ht="18" customHeight="1" x14ac:dyDescent="0.3">
      <c r="A73" s="31" t="s">
        <v>21</v>
      </c>
      <c r="B73" s="4">
        <v>61000</v>
      </c>
      <c r="C73" s="32">
        <v>55000</v>
      </c>
      <c r="D73" s="38">
        <v>53600</v>
      </c>
      <c r="E73" s="38">
        <v>9300</v>
      </c>
      <c r="F73" s="38">
        <v>7100</v>
      </c>
      <c r="G73" s="32">
        <v>55000</v>
      </c>
      <c r="H73" s="32">
        <v>7300</v>
      </c>
      <c r="I73" s="32">
        <v>3900</v>
      </c>
    </row>
    <row r="74" spans="1:9" ht="18" customHeight="1" x14ac:dyDescent="0.3">
      <c r="A74" s="31" t="s">
        <v>14</v>
      </c>
      <c r="B74" s="4">
        <v>81000</v>
      </c>
      <c r="C74" s="32">
        <v>73000</v>
      </c>
      <c r="D74" s="38">
        <v>71100</v>
      </c>
      <c r="E74" s="38">
        <v>12400</v>
      </c>
      <c r="F74" s="38">
        <v>9100</v>
      </c>
      <c r="G74" s="32">
        <v>73000</v>
      </c>
      <c r="H74" s="32">
        <v>9700</v>
      </c>
      <c r="I74" s="32">
        <v>5100</v>
      </c>
    </row>
    <row r="75" spans="1:9" ht="18" customHeight="1" x14ac:dyDescent="0.3">
      <c r="A75" s="31" t="s">
        <v>15</v>
      </c>
      <c r="B75" s="4">
        <v>81000</v>
      </c>
      <c r="C75" s="32">
        <v>73000</v>
      </c>
      <c r="D75" s="38">
        <v>71100</v>
      </c>
      <c r="E75" s="38">
        <v>12400</v>
      </c>
      <c r="F75" s="38">
        <v>9100</v>
      </c>
      <c r="G75" s="32">
        <v>73000</v>
      </c>
      <c r="H75" s="32">
        <v>9700</v>
      </c>
      <c r="I75" s="32">
        <v>5100</v>
      </c>
    </row>
    <row r="80" spans="1:9" ht="18" customHeight="1" x14ac:dyDescent="0.3">
      <c r="A80" s="77" t="s">
        <v>25</v>
      </c>
      <c r="B80" s="78"/>
      <c r="C80" s="79"/>
      <c r="D80" s="79"/>
      <c r="E80" s="79"/>
      <c r="F80" s="79"/>
      <c r="G80" s="79"/>
      <c r="H80" s="79"/>
      <c r="I80" s="79"/>
    </row>
    <row r="81" spans="1:9" ht="55.2" x14ac:dyDescent="0.3">
      <c r="A81" s="28" t="s">
        <v>0</v>
      </c>
      <c r="B81" s="28" t="s">
        <v>1</v>
      </c>
      <c r="C81" s="28" t="s">
        <v>8</v>
      </c>
      <c r="D81" s="34" t="s">
        <v>42</v>
      </c>
      <c r="E81" s="34" t="s">
        <v>37</v>
      </c>
      <c r="F81" s="34" t="s">
        <v>38</v>
      </c>
      <c r="G81" s="28" t="s">
        <v>41</v>
      </c>
      <c r="H81" s="28" t="s">
        <v>39</v>
      </c>
      <c r="I81" s="28" t="s">
        <v>40</v>
      </c>
    </row>
    <row r="82" spans="1:9" ht="18" customHeight="1" x14ac:dyDescent="0.3">
      <c r="A82" s="33" t="s">
        <v>11</v>
      </c>
      <c r="B82" s="5">
        <v>21000</v>
      </c>
      <c r="C82" s="29">
        <v>19000</v>
      </c>
      <c r="D82" s="35">
        <v>18600</v>
      </c>
      <c r="E82" s="35">
        <v>3200</v>
      </c>
      <c r="F82" s="35">
        <v>2600</v>
      </c>
      <c r="G82" s="29">
        <v>19000</v>
      </c>
      <c r="H82" s="29">
        <v>2500</v>
      </c>
      <c r="I82" s="29">
        <v>1500</v>
      </c>
    </row>
    <row r="83" spans="1:9" ht="18" customHeight="1" x14ac:dyDescent="0.3">
      <c r="A83" s="33" t="s">
        <v>26</v>
      </c>
      <c r="B83" s="5">
        <v>27750</v>
      </c>
      <c r="C83" s="29">
        <v>25000</v>
      </c>
      <c r="D83" s="35">
        <v>24400</v>
      </c>
      <c r="E83" s="35">
        <v>4200</v>
      </c>
      <c r="F83" s="35">
        <v>3400</v>
      </c>
      <c r="G83" s="29">
        <v>25000</v>
      </c>
      <c r="H83" s="29">
        <v>3300</v>
      </c>
      <c r="I83" s="29">
        <v>1900</v>
      </c>
    </row>
    <row r="84" spans="1:9" ht="18" customHeight="1" x14ac:dyDescent="0.3">
      <c r="A84" s="33" t="s">
        <v>12</v>
      </c>
      <c r="B84" s="5">
        <v>27750</v>
      </c>
      <c r="C84" s="29">
        <v>25000</v>
      </c>
      <c r="D84" s="35">
        <v>24400</v>
      </c>
      <c r="E84" s="35">
        <v>4200</v>
      </c>
      <c r="F84" s="35">
        <v>3400</v>
      </c>
      <c r="G84" s="29">
        <v>25000</v>
      </c>
      <c r="H84" s="29">
        <v>3300</v>
      </c>
      <c r="I84" s="29">
        <v>1900</v>
      </c>
    </row>
    <row r="85" spans="1:9" ht="18" customHeight="1" x14ac:dyDescent="0.3">
      <c r="A85" s="33" t="s">
        <v>20</v>
      </c>
      <c r="B85" s="5">
        <v>34500</v>
      </c>
      <c r="C85" s="29">
        <v>31000</v>
      </c>
      <c r="D85" s="35">
        <v>30200</v>
      </c>
      <c r="E85" s="35">
        <v>5300</v>
      </c>
      <c r="F85" s="35">
        <v>3700</v>
      </c>
      <c r="G85" s="29">
        <v>31000</v>
      </c>
      <c r="H85" s="29">
        <v>4100</v>
      </c>
      <c r="I85" s="29">
        <v>2300</v>
      </c>
    </row>
    <row r="86" spans="1:9" ht="18" customHeight="1" x14ac:dyDescent="0.3">
      <c r="A86" s="33" t="s">
        <v>13</v>
      </c>
      <c r="B86" s="5">
        <v>27750</v>
      </c>
      <c r="C86" s="29">
        <v>25000</v>
      </c>
      <c r="D86" s="35">
        <v>24400</v>
      </c>
      <c r="E86" s="35">
        <v>4200</v>
      </c>
      <c r="F86" s="35">
        <v>3400</v>
      </c>
      <c r="G86" s="29">
        <v>25000</v>
      </c>
      <c r="H86" s="29">
        <v>3300</v>
      </c>
      <c r="I86" s="29">
        <v>1900</v>
      </c>
    </row>
    <row r="87" spans="1:9" ht="18" customHeight="1" x14ac:dyDescent="0.3">
      <c r="A87" s="33" t="s">
        <v>21</v>
      </c>
      <c r="B87" s="5">
        <v>34500</v>
      </c>
      <c r="C87" s="29">
        <v>31000</v>
      </c>
      <c r="D87" s="35">
        <v>30200</v>
      </c>
      <c r="E87" s="35">
        <v>5300</v>
      </c>
      <c r="F87" s="35">
        <v>3700</v>
      </c>
      <c r="G87" s="29">
        <v>31000</v>
      </c>
      <c r="H87" s="29">
        <v>4100</v>
      </c>
      <c r="I87" s="29">
        <v>2300</v>
      </c>
    </row>
    <row r="88" spans="1:9" ht="18" customHeight="1" x14ac:dyDescent="0.3">
      <c r="A88" s="33" t="s">
        <v>14</v>
      </c>
      <c r="B88" s="5">
        <v>41000</v>
      </c>
      <c r="C88" s="29">
        <v>37000</v>
      </c>
      <c r="D88" s="35">
        <v>36100</v>
      </c>
      <c r="E88" s="35">
        <v>6300</v>
      </c>
      <c r="F88" s="35">
        <v>4600</v>
      </c>
      <c r="G88" s="29">
        <v>37000</v>
      </c>
      <c r="H88" s="29">
        <v>4900</v>
      </c>
      <c r="I88" s="29">
        <v>2700</v>
      </c>
    </row>
    <row r="89" spans="1:9" ht="18" customHeight="1" x14ac:dyDescent="0.3">
      <c r="A89" s="33" t="s">
        <v>15</v>
      </c>
      <c r="B89" s="5">
        <v>41000</v>
      </c>
      <c r="C89" s="29">
        <v>37000</v>
      </c>
      <c r="D89" s="35">
        <v>36100</v>
      </c>
      <c r="E89" s="35">
        <v>6300</v>
      </c>
      <c r="F89" s="35">
        <v>4600</v>
      </c>
      <c r="G89" s="29">
        <v>37000</v>
      </c>
      <c r="H89" s="29">
        <v>4900</v>
      </c>
      <c r="I89" s="29">
        <v>2700</v>
      </c>
    </row>
    <row r="92" spans="1:9" ht="18" customHeight="1" x14ac:dyDescent="0.3">
      <c r="A92" s="80" t="s">
        <v>28</v>
      </c>
      <c r="B92" s="81"/>
      <c r="C92" s="82"/>
      <c r="D92" s="82"/>
      <c r="E92" s="82"/>
      <c r="F92" s="82"/>
      <c r="G92" s="82"/>
      <c r="H92" s="82"/>
      <c r="I92" s="82"/>
    </row>
    <row r="93" spans="1:9" ht="55.2" x14ac:dyDescent="0.3">
      <c r="A93" s="30" t="s">
        <v>0</v>
      </c>
      <c r="B93" s="30" t="s">
        <v>1</v>
      </c>
      <c r="C93" s="30" t="s">
        <v>8</v>
      </c>
      <c r="D93" s="25" t="s">
        <v>42</v>
      </c>
      <c r="E93" s="25" t="s">
        <v>37</v>
      </c>
      <c r="F93" s="25" t="s">
        <v>38</v>
      </c>
      <c r="G93" s="30" t="s">
        <v>41</v>
      </c>
      <c r="H93" s="30" t="s">
        <v>39</v>
      </c>
      <c r="I93" s="30" t="s">
        <v>40</v>
      </c>
    </row>
    <row r="94" spans="1:9" ht="18" customHeight="1" x14ac:dyDescent="0.3">
      <c r="A94" s="31" t="s">
        <v>11</v>
      </c>
      <c r="B94" s="8">
        <v>34500</v>
      </c>
      <c r="C94" s="32">
        <v>31000</v>
      </c>
      <c r="D94" s="38">
        <v>30200</v>
      </c>
      <c r="E94" s="38">
        <v>5300</v>
      </c>
      <c r="F94" s="38">
        <v>3700</v>
      </c>
      <c r="G94" s="32">
        <v>31000</v>
      </c>
      <c r="H94" s="32">
        <v>4100</v>
      </c>
      <c r="I94" s="32">
        <v>2300</v>
      </c>
    </row>
    <row r="95" spans="1:9" ht="18" customHeight="1" x14ac:dyDescent="0.3">
      <c r="A95" s="31" t="s">
        <v>26</v>
      </c>
      <c r="B95" s="8">
        <v>41000</v>
      </c>
      <c r="C95" s="32">
        <v>37000</v>
      </c>
      <c r="D95" s="38">
        <v>36100</v>
      </c>
      <c r="E95" s="38">
        <v>6300</v>
      </c>
      <c r="F95" s="38">
        <v>4600</v>
      </c>
      <c r="G95" s="32">
        <v>37000</v>
      </c>
      <c r="H95" s="32">
        <v>4900</v>
      </c>
      <c r="I95" s="32">
        <v>2700</v>
      </c>
    </row>
    <row r="96" spans="1:9" ht="18" customHeight="1" x14ac:dyDescent="0.3">
      <c r="A96" s="31" t="s">
        <v>12</v>
      </c>
      <c r="B96" s="8">
        <v>41000</v>
      </c>
      <c r="C96" s="32">
        <v>37000</v>
      </c>
      <c r="D96" s="38">
        <v>36100</v>
      </c>
      <c r="E96" s="38">
        <v>6300</v>
      </c>
      <c r="F96" s="38">
        <v>4600</v>
      </c>
      <c r="G96" s="32">
        <v>37000</v>
      </c>
      <c r="H96" s="32">
        <v>4900</v>
      </c>
      <c r="I96" s="32">
        <v>2700</v>
      </c>
    </row>
    <row r="97" spans="1:9" ht="18" customHeight="1" x14ac:dyDescent="0.3">
      <c r="A97" s="31" t="s">
        <v>20</v>
      </c>
      <c r="B97" s="8">
        <v>47750</v>
      </c>
      <c r="C97" s="32">
        <v>43000</v>
      </c>
      <c r="D97" s="38">
        <v>41900</v>
      </c>
      <c r="E97" s="38">
        <v>7300</v>
      </c>
      <c r="F97" s="38">
        <v>5400</v>
      </c>
      <c r="G97" s="32">
        <v>43000</v>
      </c>
      <c r="H97" s="32">
        <v>5700</v>
      </c>
      <c r="I97" s="32">
        <v>3100</v>
      </c>
    </row>
    <row r="98" spans="1:9" ht="18" customHeight="1" x14ac:dyDescent="0.3">
      <c r="A98" s="31" t="s">
        <v>13</v>
      </c>
      <c r="B98" s="8">
        <v>41000</v>
      </c>
      <c r="C98" s="32">
        <v>37000</v>
      </c>
      <c r="D98" s="38">
        <v>36100</v>
      </c>
      <c r="E98" s="38">
        <v>6300</v>
      </c>
      <c r="F98" s="38">
        <v>4600</v>
      </c>
      <c r="G98" s="32">
        <v>37000</v>
      </c>
      <c r="H98" s="32">
        <v>4900</v>
      </c>
      <c r="I98" s="32">
        <v>2700</v>
      </c>
    </row>
    <row r="99" spans="1:9" ht="18" customHeight="1" x14ac:dyDescent="0.3">
      <c r="A99" s="31" t="s">
        <v>21</v>
      </c>
      <c r="B99" s="8">
        <v>47750</v>
      </c>
      <c r="C99" s="32">
        <v>43000</v>
      </c>
      <c r="D99" s="38">
        <v>41900</v>
      </c>
      <c r="E99" s="38">
        <v>7300</v>
      </c>
      <c r="F99" s="38">
        <v>5400</v>
      </c>
      <c r="G99" s="32">
        <v>43000</v>
      </c>
      <c r="H99" s="32">
        <v>5700</v>
      </c>
      <c r="I99" s="32">
        <v>3100</v>
      </c>
    </row>
    <row r="100" spans="1:9" ht="18" customHeight="1" x14ac:dyDescent="0.3">
      <c r="A100" s="31" t="s">
        <v>14</v>
      </c>
      <c r="B100" s="8">
        <v>54500</v>
      </c>
      <c r="C100" s="32">
        <v>49000</v>
      </c>
      <c r="D100" s="38">
        <v>47800</v>
      </c>
      <c r="E100" s="38">
        <v>8300</v>
      </c>
      <c r="F100" s="38">
        <v>6300</v>
      </c>
      <c r="G100" s="32">
        <v>49000</v>
      </c>
      <c r="H100" s="32">
        <v>6500</v>
      </c>
      <c r="I100" s="32">
        <v>3500</v>
      </c>
    </row>
    <row r="101" spans="1:9" ht="18" customHeight="1" x14ac:dyDescent="0.3">
      <c r="A101" s="31" t="s">
        <v>15</v>
      </c>
      <c r="B101" s="8">
        <v>54500</v>
      </c>
      <c r="C101" s="32">
        <v>49000</v>
      </c>
      <c r="D101" s="38">
        <v>47800</v>
      </c>
      <c r="E101" s="38">
        <v>8300</v>
      </c>
      <c r="F101" s="38">
        <v>6300</v>
      </c>
      <c r="G101" s="32">
        <v>49000</v>
      </c>
      <c r="H101" s="32">
        <v>6500</v>
      </c>
      <c r="I101" s="32">
        <v>3500</v>
      </c>
    </row>
    <row r="104" spans="1:9" ht="18" customHeight="1" x14ac:dyDescent="0.3">
      <c r="A104" s="77" t="s">
        <v>29</v>
      </c>
      <c r="B104" s="78"/>
      <c r="C104" s="79"/>
      <c r="D104" s="79"/>
      <c r="E104" s="79"/>
      <c r="F104" s="79"/>
      <c r="G104" s="79"/>
      <c r="H104" s="79"/>
      <c r="I104" s="79"/>
    </row>
    <row r="105" spans="1:9" ht="55.2" x14ac:dyDescent="0.3">
      <c r="A105" s="28" t="s">
        <v>0</v>
      </c>
      <c r="B105" s="28" t="s">
        <v>1</v>
      </c>
      <c r="C105" s="28" t="s">
        <v>8</v>
      </c>
      <c r="D105" s="34" t="s">
        <v>42</v>
      </c>
      <c r="E105" s="34" t="s">
        <v>37</v>
      </c>
      <c r="F105" s="34" t="s">
        <v>38</v>
      </c>
      <c r="G105" s="28" t="s">
        <v>41</v>
      </c>
      <c r="H105" s="28" t="s">
        <v>39</v>
      </c>
      <c r="I105" s="28" t="s">
        <v>40</v>
      </c>
    </row>
    <row r="106" spans="1:9" ht="18" customHeight="1" x14ac:dyDescent="0.3">
      <c r="A106" s="33" t="s">
        <v>12</v>
      </c>
      <c r="B106" s="5">
        <v>34500</v>
      </c>
      <c r="C106" s="29">
        <v>31000</v>
      </c>
      <c r="D106" s="35">
        <v>30200</v>
      </c>
      <c r="E106" s="35">
        <v>5300</v>
      </c>
      <c r="F106" s="35">
        <v>3700</v>
      </c>
      <c r="G106" s="29">
        <v>31000</v>
      </c>
      <c r="H106" s="29">
        <v>4100</v>
      </c>
      <c r="I106" s="29">
        <v>2300</v>
      </c>
    </row>
    <row r="107" spans="1:9" ht="18" customHeight="1" x14ac:dyDescent="0.3">
      <c r="A107" s="33" t="s">
        <v>20</v>
      </c>
      <c r="B107" s="5">
        <v>47500</v>
      </c>
      <c r="C107" s="29">
        <v>43000</v>
      </c>
      <c r="D107" s="35">
        <v>41900</v>
      </c>
      <c r="E107" s="35">
        <v>7300</v>
      </c>
      <c r="F107" s="35">
        <v>5400</v>
      </c>
      <c r="G107" s="29">
        <v>43000</v>
      </c>
      <c r="H107" s="29">
        <v>5700</v>
      </c>
      <c r="I107" s="29">
        <v>3100</v>
      </c>
    </row>
    <row r="108" spans="1:9" ht="18" customHeight="1" x14ac:dyDescent="0.3">
      <c r="A108" s="33" t="s">
        <v>13</v>
      </c>
      <c r="B108" s="5">
        <v>34500</v>
      </c>
      <c r="C108" s="29">
        <v>31000</v>
      </c>
      <c r="D108" s="35">
        <v>30200</v>
      </c>
      <c r="E108" s="35">
        <v>5300</v>
      </c>
      <c r="F108" s="35">
        <v>3700</v>
      </c>
      <c r="G108" s="29">
        <v>31000</v>
      </c>
      <c r="H108" s="29">
        <v>4100</v>
      </c>
      <c r="I108" s="29">
        <v>2300</v>
      </c>
    </row>
    <row r="109" spans="1:9" ht="18" customHeight="1" x14ac:dyDescent="0.3">
      <c r="A109" s="33" t="s">
        <v>21</v>
      </c>
      <c r="B109" s="5">
        <v>47500</v>
      </c>
      <c r="C109" s="29">
        <v>43000</v>
      </c>
      <c r="D109" s="35">
        <v>41900</v>
      </c>
      <c r="E109" s="35">
        <v>7300</v>
      </c>
      <c r="F109" s="35">
        <v>5400</v>
      </c>
      <c r="G109" s="29">
        <v>43000</v>
      </c>
      <c r="H109" s="29">
        <v>5700</v>
      </c>
      <c r="I109" s="29">
        <v>3100</v>
      </c>
    </row>
    <row r="110" spans="1:9" ht="18" customHeight="1" x14ac:dyDescent="0.3">
      <c r="A110" s="33" t="s">
        <v>14</v>
      </c>
      <c r="B110" s="5">
        <v>61000</v>
      </c>
      <c r="C110" s="29">
        <v>55000</v>
      </c>
      <c r="D110" s="35">
        <v>53600</v>
      </c>
      <c r="E110" s="35">
        <v>9300</v>
      </c>
      <c r="F110" s="35">
        <v>7100</v>
      </c>
      <c r="G110" s="29">
        <v>55000</v>
      </c>
      <c r="H110" s="29">
        <v>7300</v>
      </c>
      <c r="I110" s="29">
        <v>3900</v>
      </c>
    </row>
    <row r="111" spans="1:9" ht="18" customHeight="1" x14ac:dyDescent="0.3">
      <c r="A111" s="33" t="s">
        <v>15</v>
      </c>
      <c r="B111" s="5">
        <v>61000</v>
      </c>
      <c r="C111" s="29">
        <v>55000</v>
      </c>
      <c r="D111" s="35">
        <v>53600</v>
      </c>
      <c r="E111" s="35">
        <v>9300</v>
      </c>
      <c r="F111" s="35">
        <v>7100</v>
      </c>
      <c r="G111" s="29">
        <v>55000</v>
      </c>
      <c r="H111" s="29">
        <v>7300</v>
      </c>
      <c r="I111" s="29">
        <v>3900</v>
      </c>
    </row>
    <row r="114" spans="1:9" ht="18" customHeight="1" x14ac:dyDescent="0.3">
      <c r="A114" s="80" t="s">
        <v>30</v>
      </c>
      <c r="B114" s="81"/>
      <c r="C114" s="82"/>
      <c r="D114" s="82"/>
      <c r="E114" s="82"/>
      <c r="F114" s="82"/>
      <c r="G114" s="82"/>
      <c r="H114" s="82"/>
      <c r="I114" s="82"/>
    </row>
    <row r="115" spans="1:9" ht="55.2" x14ac:dyDescent="0.3">
      <c r="A115" s="30" t="s">
        <v>0</v>
      </c>
      <c r="B115" s="30" t="s">
        <v>1</v>
      </c>
      <c r="C115" s="30" t="s">
        <v>8</v>
      </c>
      <c r="D115" s="25" t="s">
        <v>42</v>
      </c>
      <c r="E115" s="25" t="s">
        <v>37</v>
      </c>
      <c r="F115" s="25" t="s">
        <v>38</v>
      </c>
      <c r="G115" s="30" t="s">
        <v>41</v>
      </c>
      <c r="H115" s="30" t="s">
        <v>39</v>
      </c>
      <c r="I115" s="30" t="s">
        <v>40</v>
      </c>
    </row>
    <row r="116" spans="1:9" ht="18" customHeight="1" x14ac:dyDescent="0.3">
      <c r="A116" s="31" t="s">
        <v>12</v>
      </c>
      <c r="B116" s="4">
        <v>47500</v>
      </c>
      <c r="C116" s="32">
        <v>43000</v>
      </c>
      <c r="D116" s="38">
        <v>41900</v>
      </c>
      <c r="E116" s="38">
        <v>7300</v>
      </c>
      <c r="F116" s="38">
        <v>5400</v>
      </c>
      <c r="G116" s="32">
        <v>43000</v>
      </c>
      <c r="H116" s="32">
        <v>5700</v>
      </c>
      <c r="I116" s="32">
        <v>3100</v>
      </c>
    </row>
    <row r="117" spans="1:9" ht="18" customHeight="1" x14ac:dyDescent="0.3">
      <c r="A117" s="31" t="s">
        <v>20</v>
      </c>
      <c r="B117" s="4">
        <v>61000</v>
      </c>
      <c r="C117" s="32">
        <v>55000</v>
      </c>
      <c r="D117" s="38">
        <v>53600</v>
      </c>
      <c r="E117" s="38">
        <v>9300</v>
      </c>
      <c r="F117" s="38">
        <v>7100</v>
      </c>
      <c r="G117" s="32">
        <v>55000</v>
      </c>
      <c r="H117" s="32">
        <v>7300</v>
      </c>
      <c r="I117" s="32">
        <v>3900</v>
      </c>
    </row>
    <row r="118" spans="1:9" ht="18" customHeight="1" x14ac:dyDescent="0.3">
      <c r="A118" s="31" t="s">
        <v>13</v>
      </c>
      <c r="B118" s="4">
        <v>47500</v>
      </c>
      <c r="C118" s="32">
        <v>43000</v>
      </c>
      <c r="D118" s="38">
        <v>41900</v>
      </c>
      <c r="E118" s="38">
        <v>7300</v>
      </c>
      <c r="F118" s="38">
        <v>5400</v>
      </c>
      <c r="G118" s="32">
        <v>43000</v>
      </c>
      <c r="H118" s="32">
        <v>5700</v>
      </c>
      <c r="I118" s="32">
        <v>3100</v>
      </c>
    </row>
    <row r="119" spans="1:9" ht="18" customHeight="1" x14ac:dyDescent="0.3">
      <c r="A119" s="31" t="s">
        <v>21</v>
      </c>
      <c r="B119" s="4">
        <v>61000</v>
      </c>
      <c r="C119" s="32">
        <v>55000</v>
      </c>
      <c r="D119" s="38">
        <v>53600</v>
      </c>
      <c r="E119" s="38">
        <v>9300</v>
      </c>
      <c r="F119" s="38">
        <v>7100</v>
      </c>
      <c r="G119" s="32">
        <v>55000</v>
      </c>
      <c r="H119" s="32">
        <v>7300</v>
      </c>
      <c r="I119" s="32">
        <v>3900</v>
      </c>
    </row>
    <row r="120" spans="1:9" ht="18" customHeight="1" x14ac:dyDescent="0.3">
      <c r="A120" s="31" t="s">
        <v>14</v>
      </c>
      <c r="B120" s="7">
        <v>74500</v>
      </c>
      <c r="C120" s="32">
        <v>67000</v>
      </c>
      <c r="D120" s="38">
        <v>65300</v>
      </c>
      <c r="E120" s="38">
        <v>11400</v>
      </c>
      <c r="F120" s="38">
        <v>8300</v>
      </c>
      <c r="G120" s="32">
        <v>67000</v>
      </c>
      <c r="H120" s="32">
        <v>8900</v>
      </c>
      <c r="I120" s="32">
        <v>4700</v>
      </c>
    </row>
    <row r="121" spans="1:9" ht="18" customHeight="1" x14ac:dyDescent="0.3">
      <c r="A121" s="31" t="s">
        <v>15</v>
      </c>
      <c r="B121" s="7">
        <v>74500</v>
      </c>
      <c r="C121" s="32">
        <v>67000</v>
      </c>
      <c r="D121" s="38">
        <v>65300</v>
      </c>
      <c r="E121" s="38">
        <v>11400</v>
      </c>
      <c r="F121" s="38">
        <v>8300</v>
      </c>
      <c r="G121" s="32">
        <v>67000</v>
      </c>
      <c r="H121" s="32">
        <v>8900</v>
      </c>
      <c r="I121" s="32">
        <v>4700</v>
      </c>
    </row>
  </sheetData>
  <mergeCells count="12">
    <mergeCell ref="A104:I104"/>
    <mergeCell ref="A114:I114"/>
    <mergeCell ref="A1:I1"/>
    <mergeCell ref="A70:I70"/>
    <mergeCell ref="A80:I80"/>
    <mergeCell ref="A92:I92"/>
    <mergeCell ref="A40:I40"/>
    <mergeCell ref="A50:I50"/>
    <mergeCell ref="A61:I61"/>
    <mergeCell ref="A10:I10"/>
    <mergeCell ref="A19:I19"/>
    <mergeCell ref="A27:I27"/>
  </mergeCells>
  <pageMargins left="0.7" right="0.7" top="0.75" bottom="0.75" header="0.3" footer="0.3"/>
  <pageSetup paperSize="9" scale="115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"/>
  <sheetViews>
    <sheetView workbookViewId="0">
      <selection activeCell="E191" sqref="E191"/>
    </sheetView>
  </sheetViews>
  <sheetFormatPr defaultColWidth="8.77734375" defaultRowHeight="18" customHeight="1" x14ac:dyDescent="0.3"/>
  <cols>
    <col min="1" max="3" width="13.33203125" customWidth="1"/>
    <col min="4" max="4" width="15.109375" customWidth="1"/>
    <col min="5" max="9" width="13.33203125" customWidth="1"/>
  </cols>
  <sheetData>
    <row r="1" spans="1:9" ht="18" customHeight="1" x14ac:dyDescent="0.3">
      <c r="A1" s="73" t="s">
        <v>36</v>
      </c>
      <c r="B1" s="74"/>
      <c r="C1" s="74"/>
      <c r="D1" s="74"/>
      <c r="E1" s="74"/>
      <c r="F1" s="74"/>
      <c r="G1" s="74"/>
      <c r="H1" s="74"/>
      <c r="I1" s="74"/>
    </row>
    <row r="2" spans="1:9" s="21" customFormat="1" ht="28.8" x14ac:dyDescent="0.3">
      <c r="A2" s="1" t="s">
        <v>0</v>
      </c>
      <c r="B2" s="1" t="s">
        <v>1</v>
      </c>
      <c r="C2" s="1" t="s">
        <v>2</v>
      </c>
      <c r="D2" s="1" t="s">
        <v>43</v>
      </c>
      <c r="E2" s="1" t="s">
        <v>44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ht="18" customHeight="1" x14ac:dyDescent="0.3">
      <c r="A3" s="2" t="s">
        <v>11</v>
      </c>
      <c r="B3" s="2">
        <v>17000</v>
      </c>
      <c r="C3" s="2">
        <v>15400</v>
      </c>
      <c r="D3" s="22">
        <v>14100</v>
      </c>
      <c r="E3" s="22">
        <f>SUM(F3:I3)</f>
        <v>14600</v>
      </c>
      <c r="F3" s="2">
        <v>5100</v>
      </c>
      <c r="G3" s="2">
        <v>3600</v>
      </c>
      <c r="H3" s="2">
        <v>3600</v>
      </c>
      <c r="I3" s="2">
        <v>2300</v>
      </c>
    </row>
    <row r="4" spans="1:9" ht="18" customHeight="1" x14ac:dyDescent="0.3">
      <c r="A4" s="2" t="s">
        <v>12</v>
      </c>
      <c r="B4" s="2">
        <v>19750</v>
      </c>
      <c r="C4" s="2">
        <v>17800</v>
      </c>
      <c r="D4" s="22">
        <v>16300</v>
      </c>
      <c r="E4" s="22">
        <f t="shared" ref="E4:E7" si="0">SUM(F4:I4)</f>
        <v>16900</v>
      </c>
      <c r="F4" s="2">
        <v>5900</v>
      </c>
      <c r="G4" s="2">
        <v>4200</v>
      </c>
      <c r="H4" s="2">
        <v>4200</v>
      </c>
      <c r="I4" s="2">
        <v>2600</v>
      </c>
    </row>
    <row r="5" spans="1:9" ht="18" customHeight="1" x14ac:dyDescent="0.3">
      <c r="A5" s="2" t="s">
        <v>13</v>
      </c>
      <c r="B5" s="2">
        <v>19750</v>
      </c>
      <c r="C5" s="2">
        <v>17800</v>
      </c>
      <c r="D5" s="22">
        <v>16300</v>
      </c>
      <c r="E5" s="22">
        <f t="shared" si="0"/>
        <v>16900</v>
      </c>
      <c r="F5" s="2">
        <v>5900</v>
      </c>
      <c r="G5" s="2">
        <v>4200</v>
      </c>
      <c r="H5" s="2">
        <v>4200</v>
      </c>
      <c r="I5" s="2">
        <v>2600</v>
      </c>
    </row>
    <row r="6" spans="1:9" ht="18" customHeight="1" x14ac:dyDescent="0.3">
      <c r="A6" s="2" t="s">
        <v>14</v>
      </c>
      <c r="B6" s="2">
        <v>21000</v>
      </c>
      <c r="C6" s="2">
        <v>19000</v>
      </c>
      <c r="D6" s="22">
        <v>17400</v>
      </c>
      <c r="E6" s="22">
        <f t="shared" si="0"/>
        <v>18000</v>
      </c>
      <c r="F6" s="2">
        <v>6300</v>
      </c>
      <c r="G6" s="2">
        <v>4500</v>
      </c>
      <c r="H6" s="2">
        <v>4500</v>
      </c>
      <c r="I6" s="2">
        <v>2700</v>
      </c>
    </row>
    <row r="7" spans="1:9" ht="18" customHeight="1" x14ac:dyDescent="0.3">
      <c r="A7" s="2" t="s">
        <v>15</v>
      </c>
      <c r="B7" s="2">
        <v>21000</v>
      </c>
      <c r="C7" s="2">
        <v>19000</v>
      </c>
      <c r="D7" s="22">
        <v>17400</v>
      </c>
      <c r="E7" s="22">
        <f t="shared" si="0"/>
        <v>18000</v>
      </c>
      <c r="F7" s="2">
        <v>6300</v>
      </c>
      <c r="G7" s="2">
        <v>4500</v>
      </c>
      <c r="H7" s="2">
        <v>4500</v>
      </c>
      <c r="I7" s="2">
        <v>2700</v>
      </c>
    </row>
    <row r="9" spans="1:9" ht="18" customHeight="1" x14ac:dyDescent="0.3">
      <c r="A9" s="77" t="s">
        <v>36</v>
      </c>
      <c r="B9" s="78"/>
      <c r="C9" s="79"/>
      <c r="D9" s="79"/>
      <c r="E9" s="79"/>
      <c r="F9" s="79"/>
      <c r="G9" s="79"/>
      <c r="H9" s="79"/>
      <c r="I9" s="79"/>
    </row>
    <row r="10" spans="1:9" ht="55.2" x14ac:dyDescent="0.3">
      <c r="A10" s="28" t="s">
        <v>0</v>
      </c>
      <c r="B10" s="28" t="s">
        <v>1</v>
      </c>
      <c r="C10" s="28" t="s">
        <v>8</v>
      </c>
      <c r="D10" s="36" t="s">
        <v>42</v>
      </c>
      <c r="E10" s="36" t="s">
        <v>37</v>
      </c>
      <c r="F10" s="36" t="s">
        <v>38</v>
      </c>
      <c r="G10" s="28" t="s">
        <v>41</v>
      </c>
      <c r="H10" s="28" t="s">
        <v>39</v>
      </c>
      <c r="I10" s="28" t="s">
        <v>40</v>
      </c>
    </row>
    <row r="11" spans="1:9" ht="18" customHeight="1" x14ac:dyDescent="0.3">
      <c r="A11" s="33" t="s">
        <v>11</v>
      </c>
      <c r="B11" s="2">
        <v>17000</v>
      </c>
      <c r="C11" s="29">
        <v>15400</v>
      </c>
      <c r="D11" s="37">
        <v>15000</v>
      </c>
      <c r="E11" s="37">
        <v>2600</v>
      </c>
      <c r="F11" s="37">
        <v>2000</v>
      </c>
      <c r="G11" s="29">
        <v>15400</v>
      </c>
      <c r="H11" s="29">
        <v>2000</v>
      </c>
      <c r="I11" s="29">
        <v>1400</v>
      </c>
    </row>
    <row r="12" spans="1:9" ht="18" customHeight="1" x14ac:dyDescent="0.3">
      <c r="A12" s="33" t="s">
        <v>12</v>
      </c>
      <c r="B12" s="2">
        <v>19750</v>
      </c>
      <c r="C12" s="29">
        <v>17800</v>
      </c>
      <c r="D12" s="37">
        <v>17300</v>
      </c>
      <c r="E12" s="37">
        <v>3000</v>
      </c>
      <c r="F12" s="37">
        <v>2300</v>
      </c>
      <c r="G12" s="29">
        <v>17800</v>
      </c>
      <c r="H12" s="29">
        <v>2400</v>
      </c>
      <c r="I12" s="29">
        <v>1000</v>
      </c>
    </row>
    <row r="13" spans="1:9" ht="18" customHeight="1" x14ac:dyDescent="0.3">
      <c r="A13" s="33" t="s">
        <v>13</v>
      </c>
      <c r="B13" s="2">
        <v>19750</v>
      </c>
      <c r="C13" s="29">
        <v>17800</v>
      </c>
      <c r="D13" s="37">
        <v>17300</v>
      </c>
      <c r="E13" s="37">
        <v>3000</v>
      </c>
      <c r="F13" s="37">
        <v>2300</v>
      </c>
      <c r="G13" s="29">
        <v>17800</v>
      </c>
      <c r="H13" s="29">
        <v>2400</v>
      </c>
      <c r="I13" s="29">
        <v>1000</v>
      </c>
    </row>
    <row r="14" spans="1:9" ht="18" customHeight="1" x14ac:dyDescent="0.3">
      <c r="A14" s="33" t="s">
        <v>14</v>
      </c>
      <c r="B14" s="2">
        <v>21000</v>
      </c>
      <c r="C14" s="29">
        <v>19000</v>
      </c>
      <c r="D14" s="37">
        <v>18500</v>
      </c>
      <c r="E14" s="37">
        <v>3200</v>
      </c>
      <c r="F14" s="37">
        <v>2500</v>
      </c>
      <c r="G14" s="29">
        <v>19000</v>
      </c>
      <c r="H14" s="29">
        <v>2500</v>
      </c>
      <c r="I14" s="29">
        <v>1500</v>
      </c>
    </row>
    <row r="15" spans="1:9" ht="18" customHeight="1" x14ac:dyDescent="0.3">
      <c r="A15" s="33" t="s">
        <v>15</v>
      </c>
      <c r="B15" s="2">
        <v>21000</v>
      </c>
      <c r="C15" s="29">
        <v>19000</v>
      </c>
      <c r="D15" s="37">
        <v>18500</v>
      </c>
      <c r="E15" s="37">
        <v>3200</v>
      </c>
      <c r="F15" s="37">
        <v>2500</v>
      </c>
      <c r="G15" s="29">
        <v>19000</v>
      </c>
      <c r="H15" s="29">
        <v>2500</v>
      </c>
      <c r="I15" s="29">
        <v>1500</v>
      </c>
    </row>
    <row r="17" spans="1:9" ht="18" customHeight="1" x14ac:dyDescent="0.3">
      <c r="A17" s="70" t="s">
        <v>16</v>
      </c>
      <c r="B17" s="71"/>
      <c r="C17" s="71"/>
      <c r="D17" s="71"/>
      <c r="E17" s="71"/>
      <c r="F17" s="71"/>
      <c r="G17" s="71"/>
      <c r="H17" s="71"/>
      <c r="I17" s="72"/>
    </row>
    <row r="18" spans="1:9" ht="28.8" x14ac:dyDescent="0.3">
      <c r="A18" s="3" t="s">
        <v>0</v>
      </c>
      <c r="B18" s="3" t="s">
        <v>1</v>
      </c>
      <c r="C18" s="3" t="s">
        <v>2</v>
      </c>
      <c r="D18" s="3" t="s">
        <v>3</v>
      </c>
      <c r="E18" s="3" t="s">
        <v>44</v>
      </c>
      <c r="F18" s="3" t="s">
        <v>4</v>
      </c>
      <c r="G18" s="3" t="s">
        <v>5</v>
      </c>
      <c r="H18" s="3" t="s">
        <v>6</v>
      </c>
      <c r="I18" s="3" t="s">
        <v>7</v>
      </c>
    </row>
    <row r="19" spans="1:9" ht="18" customHeight="1" x14ac:dyDescent="0.3">
      <c r="A19" s="4" t="s">
        <v>11</v>
      </c>
      <c r="B19" s="4">
        <v>27750</v>
      </c>
      <c r="C19" s="4">
        <v>25000</v>
      </c>
      <c r="D19" s="4">
        <v>22900</v>
      </c>
      <c r="E19" s="4">
        <f>SUM(F19:I19)</f>
        <v>23700</v>
      </c>
      <c r="F19" s="4">
        <v>8300</v>
      </c>
      <c r="G19" s="4">
        <v>5900</v>
      </c>
      <c r="H19" s="4">
        <v>5900</v>
      </c>
      <c r="I19" s="4">
        <v>3600</v>
      </c>
    </row>
    <row r="20" spans="1:9" ht="18" customHeight="1" x14ac:dyDescent="0.3">
      <c r="A20" s="4" t="s">
        <v>12</v>
      </c>
      <c r="B20" s="4">
        <v>27750</v>
      </c>
      <c r="C20" s="4">
        <v>25000</v>
      </c>
      <c r="D20" s="4">
        <v>22900</v>
      </c>
      <c r="E20" s="4">
        <f t="shared" ref="E20:E23" si="1">SUM(F20:I20)</f>
        <v>23700</v>
      </c>
      <c r="F20" s="4">
        <v>8300</v>
      </c>
      <c r="G20" s="4">
        <v>5900</v>
      </c>
      <c r="H20" s="4">
        <v>5900</v>
      </c>
      <c r="I20" s="4">
        <v>3600</v>
      </c>
    </row>
    <row r="21" spans="1:9" ht="18" customHeight="1" x14ac:dyDescent="0.3">
      <c r="A21" s="4" t="s">
        <v>13</v>
      </c>
      <c r="B21" s="4">
        <v>27750</v>
      </c>
      <c r="C21" s="4">
        <v>25000</v>
      </c>
      <c r="D21" s="4">
        <v>22900</v>
      </c>
      <c r="E21" s="4">
        <f t="shared" si="1"/>
        <v>23700</v>
      </c>
      <c r="F21" s="4">
        <v>8300</v>
      </c>
      <c r="G21" s="4">
        <v>5900</v>
      </c>
      <c r="H21" s="4">
        <v>5900</v>
      </c>
      <c r="I21" s="4">
        <v>3600</v>
      </c>
    </row>
    <row r="22" spans="1:9" ht="18" customHeight="1" x14ac:dyDescent="0.3">
      <c r="A22" s="4" t="s">
        <v>14</v>
      </c>
      <c r="B22" s="4">
        <v>34500</v>
      </c>
      <c r="C22" s="4">
        <v>31000</v>
      </c>
      <c r="D22" s="4">
        <v>28400</v>
      </c>
      <c r="E22" s="4">
        <f t="shared" si="1"/>
        <v>29400</v>
      </c>
      <c r="F22" s="4">
        <v>10300</v>
      </c>
      <c r="G22" s="4">
        <v>7300</v>
      </c>
      <c r="H22" s="4">
        <v>7300</v>
      </c>
      <c r="I22" s="4">
        <v>4500</v>
      </c>
    </row>
    <row r="23" spans="1:9" ht="18" customHeight="1" x14ac:dyDescent="0.3">
      <c r="A23" s="4" t="s">
        <v>15</v>
      </c>
      <c r="B23" s="4">
        <v>34500</v>
      </c>
      <c r="C23" s="4">
        <v>31000</v>
      </c>
      <c r="D23" s="4">
        <v>28400</v>
      </c>
      <c r="E23" s="4">
        <f t="shared" si="1"/>
        <v>29400</v>
      </c>
      <c r="F23" s="4">
        <v>10300</v>
      </c>
      <c r="G23" s="4">
        <v>7300</v>
      </c>
      <c r="H23" s="4">
        <v>7300</v>
      </c>
      <c r="I23" s="4">
        <v>4500</v>
      </c>
    </row>
    <row r="25" spans="1:9" ht="18" customHeight="1" x14ac:dyDescent="0.3">
      <c r="A25" s="80" t="s">
        <v>16</v>
      </c>
      <c r="B25" s="81"/>
      <c r="C25" s="82"/>
      <c r="D25" s="82"/>
      <c r="E25" s="82"/>
      <c r="F25" s="82"/>
      <c r="G25" s="82"/>
      <c r="H25" s="82"/>
      <c r="I25" s="82"/>
    </row>
    <row r="26" spans="1:9" ht="55.2" x14ac:dyDescent="0.3">
      <c r="A26" s="30" t="s">
        <v>0</v>
      </c>
      <c r="B26" s="30" t="s">
        <v>1</v>
      </c>
      <c r="C26" s="30" t="s">
        <v>8</v>
      </c>
      <c r="D26" s="25" t="s">
        <v>42</v>
      </c>
      <c r="E26" s="25" t="s">
        <v>37</v>
      </c>
      <c r="F26" s="25" t="s">
        <v>38</v>
      </c>
      <c r="G26" s="30" t="s">
        <v>41</v>
      </c>
      <c r="H26" s="30" t="s">
        <v>39</v>
      </c>
      <c r="I26" s="30" t="s">
        <v>40</v>
      </c>
    </row>
    <row r="27" spans="1:9" ht="18" customHeight="1" x14ac:dyDescent="0.3">
      <c r="A27" s="31" t="s">
        <v>11</v>
      </c>
      <c r="B27" s="4">
        <v>27750</v>
      </c>
      <c r="C27" s="32">
        <v>25000</v>
      </c>
      <c r="D27" s="38">
        <v>24400</v>
      </c>
      <c r="E27" s="38">
        <v>4200</v>
      </c>
      <c r="F27" s="38">
        <v>3400</v>
      </c>
      <c r="G27" s="32">
        <v>25000</v>
      </c>
      <c r="H27" s="32">
        <v>3300</v>
      </c>
      <c r="I27" s="32">
        <v>1900</v>
      </c>
    </row>
    <row r="28" spans="1:9" ht="18" customHeight="1" x14ac:dyDescent="0.3">
      <c r="A28" s="31" t="s">
        <v>12</v>
      </c>
      <c r="B28" s="4">
        <v>27750</v>
      </c>
      <c r="C28" s="32">
        <v>25000</v>
      </c>
      <c r="D28" s="38">
        <v>24400</v>
      </c>
      <c r="E28" s="38">
        <v>4200</v>
      </c>
      <c r="F28" s="38">
        <v>3400</v>
      </c>
      <c r="G28" s="32">
        <v>25000</v>
      </c>
      <c r="H28" s="32">
        <v>3300</v>
      </c>
      <c r="I28" s="32">
        <v>1900</v>
      </c>
    </row>
    <row r="29" spans="1:9" ht="18" customHeight="1" x14ac:dyDescent="0.3">
      <c r="A29" s="31" t="s">
        <v>13</v>
      </c>
      <c r="B29" s="4">
        <v>27750</v>
      </c>
      <c r="C29" s="32">
        <v>25000</v>
      </c>
      <c r="D29" s="38">
        <v>24400</v>
      </c>
      <c r="E29" s="38">
        <v>4200</v>
      </c>
      <c r="F29" s="38">
        <v>3400</v>
      </c>
      <c r="G29" s="32">
        <v>25000</v>
      </c>
      <c r="H29" s="32">
        <v>3300</v>
      </c>
      <c r="I29" s="32">
        <v>1900</v>
      </c>
    </row>
    <row r="30" spans="1:9" ht="18" customHeight="1" x14ac:dyDescent="0.3">
      <c r="A30" s="31" t="s">
        <v>14</v>
      </c>
      <c r="B30" s="4">
        <v>34500</v>
      </c>
      <c r="C30" s="32">
        <v>31000</v>
      </c>
      <c r="D30" s="38">
        <v>30200</v>
      </c>
      <c r="E30" s="38">
        <v>5300</v>
      </c>
      <c r="F30" s="38">
        <v>3700</v>
      </c>
      <c r="G30" s="32">
        <v>31000</v>
      </c>
      <c r="H30" s="32">
        <v>4100</v>
      </c>
      <c r="I30" s="32">
        <v>2300</v>
      </c>
    </row>
    <row r="31" spans="1:9" ht="18" customHeight="1" x14ac:dyDescent="0.3">
      <c r="A31" s="31" t="s">
        <v>15</v>
      </c>
      <c r="B31" s="4">
        <v>34500</v>
      </c>
      <c r="C31" s="32">
        <v>31000</v>
      </c>
      <c r="D31" s="38">
        <v>30200</v>
      </c>
      <c r="E31" s="38">
        <v>5300</v>
      </c>
      <c r="F31" s="38">
        <v>3700</v>
      </c>
      <c r="G31" s="32">
        <v>31000</v>
      </c>
      <c r="H31" s="32">
        <v>4100</v>
      </c>
      <c r="I31" s="32">
        <v>2300</v>
      </c>
    </row>
    <row r="35" spans="1:9" ht="18" customHeight="1" x14ac:dyDescent="0.3">
      <c r="A35" s="73" t="s">
        <v>17</v>
      </c>
      <c r="B35" s="74"/>
      <c r="C35" s="74"/>
      <c r="D35" s="74"/>
      <c r="E35" s="74"/>
      <c r="F35" s="74"/>
      <c r="G35" s="74"/>
      <c r="H35" s="74"/>
      <c r="I35" s="74"/>
    </row>
    <row r="36" spans="1:9" ht="28.8" x14ac:dyDescent="0.3">
      <c r="A36" s="1" t="s">
        <v>0</v>
      </c>
      <c r="B36" s="1" t="s">
        <v>1</v>
      </c>
      <c r="C36" s="1" t="s">
        <v>2</v>
      </c>
      <c r="D36" s="1" t="s">
        <v>3</v>
      </c>
      <c r="E36" s="1" t="s">
        <v>44</v>
      </c>
      <c r="F36" s="1" t="s">
        <v>4</v>
      </c>
      <c r="G36" s="1" t="s">
        <v>5</v>
      </c>
      <c r="H36" s="1" t="s">
        <v>6</v>
      </c>
      <c r="I36" s="1" t="s">
        <v>7</v>
      </c>
    </row>
    <row r="37" spans="1:9" ht="18" customHeight="1" x14ac:dyDescent="0.3">
      <c r="A37" s="2" t="s">
        <v>12</v>
      </c>
      <c r="B37" s="2">
        <v>19750</v>
      </c>
      <c r="C37" s="2">
        <v>17800</v>
      </c>
      <c r="D37" s="2">
        <v>16300</v>
      </c>
      <c r="E37" s="2">
        <f>SUM(F37:I37)</f>
        <v>16900</v>
      </c>
      <c r="F37" s="2">
        <v>5900</v>
      </c>
      <c r="G37" s="2">
        <v>4200</v>
      </c>
      <c r="H37" s="2">
        <v>4200</v>
      </c>
      <c r="I37" s="2">
        <v>2600</v>
      </c>
    </row>
    <row r="38" spans="1:9" ht="18" customHeight="1" x14ac:dyDescent="0.3">
      <c r="A38" s="2" t="s">
        <v>13</v>
      </c>
      <c r="B38" s="2">
        <v>19750</v>
      </c>
      <c r="C38" s="2">
        <v>17800</v>
      </c>
      <c r="D38" s="2">
        <v>16300</v>
      </c>
      <c r="E38" s="2">
        <f t="shared" ref="E38:E40" si="2">SUM(F38:I38)</f>
        <v>16900</v>
      </c>
      <c r="F38" s="2">
        <v>5900</v>
      </c>
      <c r="G38" s="2">
        <v>4200</v>
      </c>
      <c r="H38" s="2">
        <v>4200</v>
      </c>
      <c r="I38" s="2">
        <v>2600</v>
      </c>
    </row>
    <row r="39" spans="1:9" ht="18" customHeight="1" x14ac:dyDescent="0.3">
      <c r="A39" s="2" t="s">
        <v>14</v>
      </c>
      <c r="B39" s="2">
        <v>21000</v>
      </c>
      <c r="C39" s="2">
        <v>19000</v>
      </c>
      <c r="D39" s="2">
        <v>17400</v>
      </c>
      <c r="E39" s="2">
        <f t="shared" si="2"/>
        <v>18000</v>
      </c>
      <c r="F39" s="2">
        <v>6300</v>
      </c>
      <c r="G39" s="2">
        <v>4500</v>
      </c>
      <c r="H39" s="2">
        <v>4500</v>
      </c>
      <c r="I39" s="2">
        <v>2700</v>
      </c>
    </row>
    <row r="40" spans="1:9" ht="18" customHeight="1" x14ac:dyDescent="0.3">
      <c r="A40" s="2" t="s">
        <v>15</v>
      </c>
      <c r="B40" s="2">
        <v>21000</v>
      </c>
      <c r="C40" s="2">
        <v>19000</v>
      </c>
      <c r="D40" s="2">
        <v>17400</v>
      </c>
      <c r="E40" s="2">
        <f t="shared" si="2"/>
        <v>18000</v>
      </c>
      <c r="F40" s="2">
        <v>6300</v>
      </c>
      <c r="G40" s="2">
        <v>4500</v>
      </c>
      <c r="H40" s="2">
        <v>4500</v>
      </c>
      <c r="I40" s="2">
        <v>2700</v>
      </c>
    </row>
    <row r="42" spans="1:9" ht="18" customHeight="1" x14ac:dyDescent="0.3">
      <c r="A42" s="77" t="s">
        <v>17</v>
      </c>
      <c r="B42" s="78"/>
      <c r="C42" s="79"/>
      <c r="D42" s="79"/>
      <c r="E42" s="79"/>
      <c r="F42" s="79"/>
      <c r="G42" s="79"/>
      <c r="H42" s="79"/>
      <c r="I42" s="79"/>
    </row>
    <row r="43" spans="1:9" ht="55.2" x14ac:dyDescent="0.3">
      <c r="A43" s="28" t="s">
        <v>0</v>
      </c>
      <c r="B43" s="28" t="s">
        <v>1</v>
      </c>
      <c r="C43" s="28" t="s">
        <v>8</v>
      </c>
      <c r="D43" s="34" t="s">
        <v>42</v>
      </c>
      <c r="E43" s="34" t="s">
        <v>37</v>
      </c>
      <c r="F43" s="34" t="s">
        <v>38</v>
      </c>
      <c r="G43" s="28" t="s">
        <v>41</v>
      </c>
      <c r="H43" s="28" t="s">
        <v>39</v>
      </c>
      <c r="I43" s="28" t="s">
        <v>40</v>
      </c>
    </row>
    <row r="44" spans="1:9" ht="18" customHeight="1" x14ac:dyDescent="0.3">
      <c r="A44" s="33" t="s">
        <v>12</v>
      </c>
      <c r="B44" s="2">
        <v>19750</v>
      </c>
      <c r="C44" s="29">
        <v>17800</v>
      </c>
      <c r="D44" s="35">
        <v>17400</v>
      </c>
      <c r="E44" s="35">
        <v>3000</v>
      </c>
      <c r="F44" s="35">
        <v>2400</v>
      </c>
      <c r="G44" s="29">
        <v>17800</v>
      </c>
      <c r="H44" s="29">
        <v>2400</v>
      </c>
      <c r="I44" s="29">
        <v>1000</v>
      </c>
    </row>
    <row r="45" spans="1:9" ht="18" customHeight="1" x14ac:dyDescent="0.3">
      <c r="A45" s="33" t="s">
        <v>13</v>
      </c>
      <c r="B45" s="2">
        <v>19750</v>
      </c>
      <c r="C45" s="29">
        <v>17800</v>
      </c>
      <c r="D45" s="35">
        <v>17400</v>
      </c>
      <c r="E45" s="35">
        <v>3000</v>
      </c>
      <c r="F45" s="35">
        <v>2400</v>
      </c>
      <c r="G45" s="29">
        <v>17800</v>
      </c>
      <c r="H45" s="29">
        <v>2400</v>
      </c>
      <c r="I45" s="29">
        <v>1000</v>
      </c>
    </row>
    <row r="46" spans="1:9" ht="18" customHeight="1" x14ac:dyDescent="0.3">
      <c r="A46" s="33" t="s">
        <v>14</v>
      </c>
      <c r="B46" s="2">
        <v>21000</v>
      </c>
      <c r="C46" s="29">
        <v>19000</v>
      </c>
      <c r="D46" s="35">
        <v>18500</v>
      </c>
      <c r="E46" s="35">
        <v>3200</v>
      </c>
      <c r="F46" s="35">
        <v>2500</v>
      </c>
      <c r="G46" s="29">
        <v>19000</v>
      </c>
      <c r="H46" s="29">
        <v>2500</v>
      </c>
      <c r="I46" s="29">
        <v>1500</v>
      </c>
    </row>
    <row r="47" spans="1:9" ht="18" customHeight="1" x14ac:dyDescent="0.3">
      <c r="A47" s="33" t="s">
        <v>15</v>
      </c>
      <c r="B47" s="2">
        <v>21000</v>
      </c>
      <c r="C47" s="29">
        <v>19000</v>
      </c>
      <c r="D47" s="35">
        <v>18500</v>
      </c>
      <c r="E47" s="35">
        <v>3200</v>
      </c>
      <c r="F47" s="35">
        <v>2500</v>
      </c>
      <c r="G47" s="29">
        <v>19000</v>
      </c>
      <c r="H47" s="29">
        <v>2500</v>
      </c>
      <c r="I47" s="29">
        <v>1500</v>
      </c>
    </row>
    <row r="49" spans="1:9" ht="18" customHeight="1" x14ac:dyDescent="0.3">
      <c r="A49" s="70" t="s">
        <v>18</v>
      </c>
      <c r="B49" s="71"/>
      <c r="C49" s="71"/>
      <c r="D49" s="71"/>
      <c r="E49" s="71"/>
      <c r="F49" s="71"/>
      <c r="G49" s="71"/>
      <c r="H49" s="71"/>
      <c r="I49" s="72"/>
    </row>
    <row r="50" spans="1:9" ht="28.8" x14ac:dyDescent="0.3">
      <c r="A50" s="3" t="s">
        <v>0</v>
      </c>
      <c r="B50" s="3" t="s">
        <v>1</v>
      </c>
      <c r="C50" s="3" t="s">
        <v>2</v>
      </c>
      <c r="D50" s="3" t="s">
        <v>3</v>
      </c>
      <c r="E50" s="3" t="s">
        <v>44</v>
      </c>
      <c r="F50" s="3" t="s">
        <v>4</v>
      </c>
      <c r="G50" s="3" t="s">
        <v>5</v>
      </c>
      <c r="H50" s="3" t="s">
        <v>6</v>
      </c>
      <c r="I50" s="3" t="s">
        <v>7</v>
      </c>
    </row>
    <row r="51" spans="1:9" ht="18" customHeight="1" x14ac:dyDescent="0.3">
      <c r="A51" s="4" t="s">
        <v>12</v>
      </c>
      <c r="B51" s="4">
        <v>27750</v>
      </c>
      <c r="C51" s="4">
        <v>25000</v>
      </c>
      <c r="D51" s="4">
        <v>22700</v>
      </c>
      <c r="E51" s="4">
        <f>SUM(F51:I51)</f>
        <v>23700</v>
      </c>
      <c r="F51" s="4">
        <v>8300</v>
      </c>
      <c r="G51" s="4">
        <v>5900</v>
      </c>
      <c r="H51" s="4">
        <v>5900</v>
      </c>
      <c r="I51" s="4">
        <v>3600</v>
      </c>
    </row>
    <row r="52" spans="1:9" ht="18" customHeight="1" x14ac:dyDescent="0.3">
      <c r="A52" s="4" t="s">
        <v>13</v>
      </c>
      <c r="B52" s="4">
        <v>27750</v>
      </c>
      <c r="C52" s="4">
        <v>25000</v>
      </c>
      <c r="D52" s="4">
        <v>22700</v>
      </c>
      <c r="E52" s="4">
        <f t="shared" ref="E52:E54" si="3">SUM(F52:I52)</f>
        <v>23700</v>
      </c>
      <c r="F52" s="4">
        <v>8300</v>
      </c>
      <c r="G52" s="4">
        <v>5900</v>
      </c>
      <c r="H52" s="4">
        <v>5900</v>
      </c>
      <c r="I52" s="4">
        <v>3600</v>
      </c>
    </row>
    <row r="53" spans="1:9" ht="18" customHeight="1" x14ac:dyDescent="0.3">
      <c r="A53" s="4" t="s">
        <v>14</v>
      </c>
      <c r="B53" s="4">
        <v>34500</v>
      </c>
      <c r="C53" s="4">
        <v>31000</v>
      </c>
      <c r="D53" s="4">
        <v>28200</v>
      </c>
      <c r="E53" s="4">
        <f t="shared" si="3"/>
        <v>29400</v>
      </c>
      <c r="F53" s="4">
        <v>10300</v>
      </c>
      <c r="G53" s="4">
        <v>7300</v>
      </c>
      <c r="H53" s="4">
        <v>7300</v>
      </c>
      <c r="I53" s="4">
        <v>4500</v>
      </c>
    </row>
    <row r="54" spans="1:9" ht="18" customHeight="1" x14ac:dyDescent="0.3">
      <c r="A54" s="4" t="s">
        <v>15</v>
      </c>
      <c r="B54" s="4">
        <v>34500</v>
      </c>
      <c r="C54" s="4">
        <v>31000</v>
      </c>
      <c r="D54" s="4">
        <v>28200</v>
      </c>
      <c r="E54" s="4">
        <f t="shared" si="3"/>
        <v>29400</v>
      </c>
      <c r="F54" s="4">
        <v>10300</v>
      </c>
      <c r="G54" s="4">
        <v>7300</v>
      </c>
      <c r="H54" s="4">
        <v>7300</v>
      </c>
      <c r="I54" s="4">
        <v>4500</v>
      </c>
    </row>
    <row r="56" spans="1:9" ht="18" customHeight="1" x14ac:dyDescent="0.3">
      <c r="A56" s="80" t="s">
        <v>18</v>
      </c>
      <c r="B56" s="81"/>
      <c r="C56" s="82"/>
      <c r="D56" s="82"/>
      <c r="E56" s="82"/>
      <c r="F56" s="82"/>
      <c r="G56" s="82"/>
      <c r="H56" s="82"/>
      <c r="I56" s="82"/>
    </row>
    <row r="57" spans="1:9" ht="55.2" x14ac:dyDescent="0.3">
      <c r="A57" s="30" t="s">
        <v>0</v>
      </c>
      <c r="B57" s="30" t="s">
        <v>1</v>
      </c>
      <c r="C57" s="30" t="s">
        <v>8</v>
      </c>
      <c r="D57" s="25" t="s">
        <v>42</v>
      </c>
      <c r="E57" s="25" t="s">
        <v>37</v>
      </c>
      <c r="F57" s="25" t="s">
        <v>38</v>
      </c>
      <c r="G57" s="30" t="s">
        <v>41</v>
      </c>
      <c r="H57" s="30" t="s">
        <v>39</v>
      </c>
      <c r="I57" s="30" t="s">
        <v>40</v>
      </c>
    </row>
    <row r="58" spans="1:9" ht="18" customHeight="1" x14ac:dyDescent="0.3">
      <c r="A58" s="31" t="s">
        <v>12</v>
      </c>
      <c r="B58" s="4">
        <v>27750</v>
      </c>
      <c r="C58" s="32">
        <v>25000</v>
      </c>
      <c r="D58" s="38">
        <v>24400</v>
      </c>
      <c r="E58" s="38">
        <v>4200</v>
      </c>
      <c r="F58" s="38">
        <v>3400</v>
      </c>
      <c r="G58" s="32">
        <v>25000</v>
      </c>
      <c r="H58" s="32">
        <v>3300</v>
      </c>
      <c r="I58" s="32">
        <v>1900</v>
      </c>
    </row>
    <row r="59" spans="1:9" ht="18" customHeight="1" x14ac:dyDescent="0.3">
      <c r="A59" s="31" t="s">
        <v>13</v>
      </c>
      <c r="B59" s="4">
        <v>27750</v>
      </c>
      <c r="C59" s="32">
        <v>25000</v>
      </c>
      <c r="D59" s="38">
        <v>24400</v>
      </c>
      <c r="E59" s="38">
        <v>4200</v>
      </c>
      <c r="F59" s="38">
        <v>3400</v>
      </c>
      <c r="G59" s="32">
        <v>25000</v>
      </c>
      <c r="H59" s="32">
        <v>3300</v>
      </c>
      <c r="I59" s="32">
        <v>1900</v>
      </c>
    </row>
    <row r="60" spans="1:9" ht="18" customHeight="1" x14ac:dyDescent="0.3">
      <c r="A60" s="31" t="s">
        <v>14</v>
      </c>
      <c r="B60" s="4">
        <v>34500</v>
      </c>
      <c r="C60" s="32">
        <v>31000</v>
      </c>
      <c r="D60" s="38">
        <v>30200</v>
      </c>
      <c r="E60" s="38">
        <v>5300</v>
      </c>
      <c r="F60" s="38">
        <v>3700</v>
      </c>
      <c r="G60" s="32">
        <v>31000</v>
      </c>
      <c r="H60" s="32">
        <v>4100</v>
      </c>
      <c r="I60" s="32">
        <v>2300</v>
      </c>
    </row>
    <row r="61" spans="1:9" ht="18" customHeight="1" x14ac:dyDescent="0.3">
      <c r="A61" s="31" t="s">
        <v>15</v>
      </c>
      <c r="B61" s="4">
        <v>34500</v>
      </c>
      <c r="C61" s="32">
        <v>31000</v>
      </c>
      <c r="D61" s="38">
        <v>30200</v>
      </c>
      <c r="E61" s="38">
        <v>5300</v>
      </c>
      <c r="F61" s="38">
        <v>3700</v>
      </c>
      <c r="G61" s="32">
        <v>31000</v>
      </c>
      <c r="H61" s="32">
        <v>4100</v>
      </c>
      <c r="I61" s="32">
        <v>2300</v>
      </c>
    </row>
    <row r="65" spans="1:9" ht="18" customHeight="1" x14ac:dyDescent="0.3">
      <c r="A65" s="73" t="s">
        <v>19</v>
      </c>
      <c r="B65" s="74"/>
      <c r="C65" s="74"/>
      <c r="D65" s="74"/>
      <c r="E65" s="74"/>
      <c r="F65" s="74"/>
      <c r="G65" s="74"/>
      <c r="H65" s="74"/>
      <c r="I65" s="74"/>
    </row>
    <row r="66" spans="1:9" ht="28.8" x14ac:dyDescent="0.3">
      <c r="A66" s="1" t="s">
        <v>0</v>
      </c>
      <c r="B66" s="1" t="s">
        <v>1</v>
      </c>
      <c r="C66" s="1" t="s">
        <v>2</v>
      </c>
      <c r="D66" s="1" t="s">
        <v>3</v>
      </c>
      <c r="E66" s="1" t="s">
        <v>44</v>
      </c>
      <c r="F66" s="1" t="s">
        <v>4</v>
      </c>
      <c r="G66" s="1" t="s">
        <v>5</v>
      </c>
      <c r="H66" s="1" t="s">
        <v>6</v>
      </c>
      <c r="I66" s="1" t="s">
        <v>7</v>
      </c>
    </row>
    <row r="67" spans="1:9" ht="18" customHeight="1" x14ac:dyDescent="0.3">
      <c r="A67" s="2" t="s">
        <v>12</v>
      </c>
      <c r="B67" s="2">
        <v>19750</v>
      </c>
      <c r="C67" s="2">
        <v>17800</v>
      </c>
      <c r="D67" s="2">
        <v>16300</v>
      </c>
      <c r="E67" s="2">
        <f>SUM(F67:I67)</f>
        <v>16900</v>
      </c>
      <c r="F67" s="2">
        <v>5900</v>
      </c>
      <c r="G67" s="2">
        <v>4200</v>
      </c>
      <c r="H67" s="2">
        <v>4200</v>
      </c>
      <c r="I67" s="2">
        <v>2600</v>
      </c>
    </row>
    <row r="68" spans="1:9" ht="18" customHeight="1" x14ac:dyDescent="0.3">
      <c r="A68" s="2" t="s">
        <v>20</v>
      </c>
      <c r="B68" s="2">
        <v>27750</v>
      </c>
      <c r="C68" s="2">
        <v>25000</v>
      </c>
      <c r="D68" s="2">
        <v>22900</v>
      </c>
      <c r="E68" s="2">
        <f t="shared" ref="E68:E70" si="4">SUM(F68:I68)</f>
        <v>23700</v>
      </c>
      <c r="F68" s="2">
        <v>8300</v>
      </c>
      <c r="G68" s="2">
        <v>5900</v>
      </c>
      <c r="H68" s="2">
        <v>5900</v>
      </c>
      <c r="I68" s="2">
        <v>3600</v>
      </c>
    </row>
    <row r="69" spans="1:9" ht="18" customHeight="1" x14ac:dyDescent="0.3">
      <c r="A69" s="2" t="s">
        <v>13</v>
      </c>
      <c r="B69" s="2">
        <v>19750</v>
      </c>
      <c r="C69" s="2">
        <v>17800</v>
      </c>
      <c r="D69" s="2">
        <v>16300</v>
      </c>
      <c r="E69" s="2">
        <f t="shared" si="4"/>
        <v>16900</v>
      </c>
      <c r="F69" s="2">
        <v>5900</v>
      </c>
      <c r="G69" s="2">
        <v>4200</v>
      </c>
      <c r="H69" s="2">
        <v>4200</v>
      </c>
      <c r="I69" s="2">
        <v>2600</v>
      </c>
    </row>
    <row r="70" spans="1:9" ht="18" customHeight="1" x14ac:dyDescent="0.3">
      <c r="A70" s="2" t="s">
        <v>21</v>
      </c>
      <c r="B70" s="2">
        <v>27750</v>
      </c>
      <c r="C70" s="2">
        <v>25000</v>
      </c>
      <c r="D70" s="2">
        <v>22900</v>
      </c>
      <c r="E70" s="2">
        <f t="shared" si="4"/>
        <v>23700</v>
      </c>
      <c r="F70" s="2">
        <v>8300</v>
      </c>
      <c r="G70" s="2">
        <v>5900</v>
      </c>
      <c r="H70" s="2">
        <v>5900</v>
      </c>
      <c r="I70" s="2">
        <v>3600</v>
      </c>
    </row>
    <row r="72" spans="1:9" ht="18" customHeight="1" x14ac:dyDescent="0.3">
      <c r="A72" s="77" t="s">
        <v>19</v>
      </c>
      <c r="B72" s="78"/>
      <c r="C72" s="79"/>
      <c r="D72" s="79"/>
      <c r="E72" s="79"/>
      <c r="F72" s="79"/>
      <c r="G72" s="79"/>
      <c r="H72" s="79"/>
      <c r="I72" s="79"/>
    </row>
    <row r="73" spans="1:9" ht="55.2" x14ac:dyDescent="0.3">
      <c r="A73" s="28" t="s">
        <v>0</v>
      </c>
      <c r="B73" s="28" t="s">
        <v>1</v>
      </c>
      <c r="C73" s="28" t="s">
        <v>8</v>
      </c>
      <c r="D73" s="34" t="s">
        <v>42</v>
      </c>
      <c r="E73" s="34" t="s">
        <v>37</v>
      </c>
      <c r="F73" s="34" t="s">
        <v>38</v>
      </c>
      <c r="G73" s="28" t="s">
        <v>41</v>
      </c>
      <c r="H73" s="28" t="s">
        <v>39</v>
      </c>
      <c r="I73" s="28" t="s">
        <v>40</v>
      </c>
    </row>
    <row r="74" spans="1:9" ht="18" customHeight="1" x14ac:dyDescent="0.3">
      <c r="A74" s="33" t="s">
        <v>12</v>
      </c>
      <c r="B74" s="2">
        <v>19750</v>
      </c>
      <c r="C74" s="29">
        <v>17800</v>
      </c>
      <c r="D74" s="35">
        <v>17400</v>
      </c>
      <c r="E74" s="35">
        <v>3000</v>
      </c>
      <c r="F74" s="35">
        <v>2400</v>
      </c>
      <c r="G74" s="29">
        <v>17800</v>
      </c>
      <c r="H74" s="29">
        <v>2400</v>
      </c>
      <c r="I74" s="29">
        <v>1000</v>
      </c>
    </row>
    <row r="75" spans="1:9" ht="18" customHeight="1" x14ac:dyDescent="0.3">
      <c r="A75" s="33" t="s">
        <v>20</v>
      </c>
      <c r="B75" s="2">
        <v>27750</v>
      </c>
      <c r="C75" s="29">
        <v>25000</v>
      </c>
      <c r="D75" s="35">
        <v>24400</v>
      </c>
      <c r="E75" s="35">
        <v>4200</v>
      </c>
      <c r="F75" s="35">
        <v>3400</v>
      </c>
      <c r="G75" s="29">
        <v>25000</v>
      </c>
      <c r="H75" s="29">
        <v>3300</v>
      </c>
      <c r="I75" s="29">
        <v>1900</v>
      </c>
    </row>
    <row r="76" spans="1:9" ht="18" customHeight="1" x14ac:dyDescent="0.3">
      <c r="A76" s="33" t="s">
        <v>13</v>
      </c>
      <c r="B76" s="2">
        <v>19750</v>
      </c>
      <c r="C76" s="29">
        <v>17800</v>
      </c>
      <c r="D76" s="35">
        <v>17400</v>
      </c>
      <c r="E76" s="35">
        <v>3000</v>
      </c>
      <c r="F76" s="35">
        <v>2400</v>
      </c>
      <c r="G76" s="29">
        <v>17800</v>
      </c>
      <c r="H76" s="29">
        <v>2400</v>
      </c>
      <c r="I76" s="29">
        <v>1000</v>
      </c>
    </row>
    <row r="77" spans="1:9" ht="18" customHeight="1" x14ac:dyDescent="0.3">
      <c r="A77" s="33" t="s">
        <v>21</v>
      </c>
      <c r="B77" s="2">
        <v>27750</v>
      </c>
      <c r="C77" s="29">
        <v>25000</v>
      </c>
      <c r="D77" s="35">
        <v>24400</v>
      </c>
      <c r="E77" s="35">
        <v>4200</v>
      </c>
      <c r="F77" s="35">
        <v>3400</v>
      </c>
      <c r="G77" s="29">
        <v>25000</v>
      </c>
      <c r="H77" s="29">
        <v>3300</v>
      </c>
      <c r="I77" s="29">
        <v>1900</v>
      </c>
    </row>
    <row r="79" spans="1:9" ht="18" customHeight="1" x14ac:dyDescent="0.3">
      <c r="A79" s="70" t="s">
        <v>22</v>
      </c>
      <c r="B79" s="71"/>
      <c r="C79" s="71"/>
      <c r="D79" s="71"/>
      <c r="E79" s="71"/>
      <c r="F79" s="71"/>
      <c r="G79" s="71"/>
      <c r="H79" s="71"/>
      <c r="I79" s="72"/>
    </row>
    <row r="80" spans="1:9" ht="28.8" x14ac:dyDescent="0.3">
      <c r="A80" s="3" t="s">
        <v>0</v>
      </c>
      <c r="B80" s="3" t="s">
        <v>1</v>
      </c>
      <c r="C80" s="3" t="s">
        <v>2</v>
      </c>
      <c r="D80" s="3" t="s">
        <v>3</v>
      </c>
      <c r="E80" s="3" t="s">
        <v>44</v>
      </c>
      <c r="F80" s="3" t="s">
        <v>4</v>
      </c>
      <c r="G80" s="3" t="s">
        <v>5</v>
      </c>
      <c r="H80" s="3" t="s">
        <v>6</v>
      </c>
      <c r="I80" s="3" t="s">
        <v>7</v>
      </c>
    </row>
    <row r="81" spans="1:9" ht="18" customHeight="1" x14ac:dyDescent="0.3">
      <c r="A81" s="4" t="s">
        <v>12</v>
      </c>
      <c r="B81" s="4">
        <v>27750</v>
      </c>
      <c r="C81" s="4">
        <v>25000</v>
      </c>
      <c r="D81" s="4">
        <v>22900</v>
      </c>
      <c r="E81" s="4">
        <f>SUM(F81:I81)</f>
        <v>23800</v>
      </c>
      <c r="F81" s="4">
        <v>8300</v>
      </c>
      <c r="G81" s="4">
        <v>5900</v>
      </c>
      <c r="H81" s="4">
        <v>5900</v>
      </c>
      <c r="I81" s="4">
        <v>3700</v>
      </c>
    </row>
    <row r="82" spans="1:9" ht="18" customHeight="1" x14ac:dyDescent="0.3">
      <c r="A82" s="4" t="s">
        <v>20</v>
      </c>
      <c r="B82" s="4">
        <v>41000</v>
      </c>
      <c r="C82" s="4">
        <v>37000</v>
      </c>
      <c r="D82" s="4">
        <v>33900</v>
      </c>
      <c r="E82" s="4">
        <f t="shared" ref="E82:E84" si="5">SUM(F82:I82)</f>
        <v>35200</v>
      </c>
      <c r="F82" s="4">
        <v>12300</v>
      </c>
      <c r="G82" s="4">
        <v>8700</v>
      </c>
      <c r="H82" s="4">
        <v>8700</v>
      </c>
      <c r="I82" s="4">
        <v>5500</v>
      </c>
    </row>
    <row r="83" spans="1:9" ht="18" customHeight="1" x14ac:dyDescent="0.3">
      <c r="A83" s="4" t="s">
        <v>13</v>
      </c>
      <c r="B83" s="4">
        <v>27750</v>
      </c>
      <c r="C83" s="4">
        <v>25000</v>
      </c>
      <c r="D83" s="4">
        <v>22900</v>
      </c>
      <c r="E83" s="4">
        <f t="shared" si="5"/>
        <v>23800</v>
      </c>
      <c r="F83" s="4">
        <v>8300</v>
      </c>
      <c r="G83" s="4">
        <v>5900</v>
      </c>
      <c r="H83" s="4">
        <v>5900</v>
      </c>
      <c r="I83" s="4">
        <v>3700</v>
      </c>
    </row>
    <row r="84" spans="1:9" ht="18" customHeight="1" x14ac:dyDescent="0.3">
      <c r="A84" s="4" t="s">
        <v>21</v>
      </c>
      <c r="B84" s="4">
        <v>41000</v>
      </c>
      <c r="C84" s="4">
        <v>37000</v>
      </c>
      <c r="D84" s="4">
        <v>33900</v>
      </c>
      <c r="E84" s="4">
        <f t="shared" si="5"/>
        <v>35200</v>
      </c>
      <c r="F84" s="4">
        <v>12300</v>
      </c>
      <c r="G84" s="4">
        <v>8700</v>
      </c>
      <c r="H84" s="4">
        <v>8700</v>
      </c>
      <c r="I84" s="4">
        <v>5500</v>
      </c>
    </row>
    <row r="86" spans="1:9" ht="18" customHeight="1" x14ac:dyDescent="0.3">
      <c r="A86" s="80" t="s">
        <v>22</v>
      </c>
      <c r="B86" s="81"/>
      <c r="C86" s="82"/>
      <c r="D86" s="82"/>
      <c r="E86" s="82"/>
      <c r="F86" s="82"/>
      <c r="G86" s="82"/>
      <c r="H86" s="82"/>
      <c r="I86" s="82"/>
    </row>
    <row r="87" spans="1:9" ht="55.2" x14ac:dyDescent="0.3">
      <c r="A87" s="30" t="s">
        <v>0</v>
      </c>
      <c r="B87" s="30" t="s">
        <v>1</v>
      </c>
      <c r="C87" s="30" t="s">
        <v>8</v>
      </c>
      <c r="D87" s="25" t="s">
        <v>42</v>
      </c>
      <c r="E87" s="25" t="s">
        <v>37</v>
      </c>
      <c r="F87" s="25" t="s">
        <v>38</v>
      </c>
      <c r="G87" s="30" t="s">
        <v>41</v>
      </c>
      <c r="H87" s="30" t="s">
        <v>39</v>
      </c>
      <c r="I87" s="30" t="s">
        <v>40</v>
      </c>
    </row>
    <row r="88" spans="1:9" ht="18" customHeight="1" x14ac:dyDescent="0.3">
      <c r="A88" s="31" t="s">
        <v>12</v>
      </c>
      <c r="B88" s="4">
        <v>27750</v>
      </c>
      <c r="C88" s="32">
        <v>25000</v>
      </c>
      <c r="D88" s="38">
        <v>24400</v>
      </c>
      <c r="E88" s="38">
        <v>4200</v>
      </c>
      <c r="F88" s="38">
        <v>3400</v>
      </c>
      <c r="G88" s="32">
        <v>25000</v>
      </c>
      <c r="H88" s="32">
        <v>3300</v>
      </c>
      <c r="I88" s="32">
        <v>1900</v>
      </c>
    </row>
    <row r="89" spans="1:9" ht="18" customHeight="1" x14ac:dyDescent="0.3">
      <c r="A89" s="31" t="s">
        <v>20</v>
      </c>
      <c r="B89" s="4">
        <v>41000</v>
      </c>
      <c r="C89" s="32">
        <v>37000</v>
      </c>
      <c r="D89" s="38">
        <v>36100</v>
      </c>
      <c r="E89" s="38">
        <v>6300</v>
      </c>
      <c r="F89" s="38">
        <v>4600</v>
      </c>
      <c r="G89" s="32">
        <v>37000</v>
      </c>
      <c r="H89" s="32">
        <v>4900</v>
      </c>
      <c r="I89" s="32">
        <v>2700</v>
      </c>
    </row>
    <row r="90" spans="1:9" ht="18" customHeight="1" x14ac:dyDescent="0.3">
      <c r="A90" s="31" t="s">
        <v>13</v>
      </c>
      <c r="B90" s="4">
        <v>27750</v>
      </c>
      <c r="C90" s="32">
        <v>25000</v>
      </c>
      <c r="D90" s="38">
        <v>24400</v>
      </c>
      <c r="E90" s="38">
        <v>4200</v>
      </c>
      <c r="F90" s="38">
        <v>3400</v>
      </c>
      <c r="G90" s="32">
        <v>25000</v>
      </c>
      <c r="H90" s="32">
        <v>3300</v>
      </c>
      <c r="I90" s="32">
        <v>1900</v>
      </c>
    </row>
    <row r="91" spans="1:9" ht="18" customHeight="1" x14ac:dyDescent="0.3">
      <c r="A91" s="31" t="s">
        <v>21</v>
      </c>
      <c r="B91" s="4">
        <v>41000</v>
      </c>
      <c r="C91" s="32">
        <v>37000</v>
      </c>
      <c r="D91" s="38">
        <v>36100</v>
      </c>
      <c r="E91" s="38">
        <v>6300</v>
      </c>
      <c r="F91" s="38">
        <v>4600</v>
      </c>
      <c r="G91" s="32">
        <v>37000</v>
      </c>
      <c r="H91" s="32">
        <v>4900</v>
      </c>
      <c r="I91" s="32">
        <v>2700</v>
      </c>
    </row>
    <row r="95" spans="1:9" ht="18" customHeight="1" x14ac:dyDescent="0.3">
      <c r="A95" s="73" t="s">
        <v>23</v>
      </c>
      <c r="B95" s="74"/>
      <c r="C95" s="74"/>
      <c r="D95" s="74"/>
      <c r="E95" s="74"/>
      <c r="F95" s="74"/>
      <c r="G95" s="74"/>
      <c r="H95" s="74"/>
      <c r="I95" s="74"/>
    </row>
    <row r="96" spans="1:9" ht="28.8" x14ac:dyDescent="0.3">
      <c r="A96" s="1" t="s">
        <v>0</v>
      </c>
      <c r="B96" s="1" t="s">
        <v>1</v>
      </c>
      <c r="C96" s="1" t="s">
        <v>2</v>
      </c>
      <c r="D96" s="1" t="s">
        <v>3</v>
      </c>
      <c r="E96" s="1" t="s">
        <v>44</v>
      </c>
      <c r="F96" s="1" t="s">
        <v>4</v>
      </c>
      <c r="G96" s="1" t="s">
        <v>5</v>
      </c>
      <c r="H96" s="1" t="s">
        <v>6</v>
      </c>
      <c r="I96" s="1" t="s">
        <v>7</v>
      </c>
    </row>
    <row r="97" spans="1:9" ht="18" customHeight="1" x14ac:dyDescent="0.3">
      <c r="A97" s="2" t="s">
        <v>20</v>
      </c>
      <c r="B97" s="2">
        <v>48500</v>
      </c>
      <c r="C97" s="2">
        <v>43000</v>
      </c>
      <c r="D97" s="2">
        <v>39400</v>
      </c>
      <c r="E97" s="2">
        <f>SUM(F97:I97)</f>
        <v>40900</v>
      </c>
      <c r="F97" s="2">
        <v>14300</v>
      </c>
      <c r="G97" s="2">
        <v>10200</v>
      </c>
      <c r="H97" s="2">
        <v>10200</v>
      </c>
      <c r="I97" s="2">
        <v>6200</v>
      </c>
    </row>
    <row r="98" spans="1:9" ht="18" customHeight="1" x14ac:dyDescent="0.3">
      <c r="A98" s="2" t="s">
        <v>21</v>
      </c>
      <c r="B98" s="2">
        <v>48500</v>
      </c>
      <c r="C98" s="2">
        <v>43000</v>
      </c>
      <c r="D98" s="2">
        <v>39400</v>
      </c>
      <c r="E98" s="2">
        <f t="shared" ref="E98:E100" si="6">SUM(F98:I98)</f>
        <v>40900</v>
      </c>
      <c r="F98" s="2">
        <v>14300</v>
      </c>
      <c r="G98" s="2">
        <v>10200</v>
      </c>
      <c r="H98" s="2">
        <v>10200</v>
      </c>
      <c r="I98" s="2">
        <v>6200</v>
      </c>
    </row>
    <row r="99" spans="1:9" ht="18" customHeight="1" x14ac:dyDescent="0.3">
      <c r="A99" s="2" t="s">
        <v>14</v>
      </c>
      <c r="B99" s="2">
        <v>68500</v>
      </c>
      <c r="C99" s="2">
        <v>61000</v>
      </c>
      <c r="D99" s="2">
        <v>55900</v>
      </c>
      <c r="E99" s="2">
        <f t="shared" si="6"/>
        <v>57900</v>
      </c>
      <c r="F99" s="2">
        <v>20400</v>
      </c>
      <c r="G99" s="2">
        <v>14400</v>
      </c>
      <c r="H99" s="2">
        <v>14400</v>
      </c>
      <c r="I99" s="2">
        <v>8700</v>
      </c>
    </row>
    <row r="100" spans="1:9" ht="18" customHeight="1" x14ac:dyDescent="0.3">
      <c r="A100" s="2" t="s">
        <v>15</v>
      </c>
      <c r="B100" s="2">
        <v>68500</v>
      </c>
      <c r="C100" s="2">
        <v>61000</v>
      </c>
      <c r="D100" s="2">
        <v>55900</v>
      </c>
      <c r="E100" s="2">
        <f t="shared" si="6"/>
        <v>57900</v>
      </c>
      <c r="F100" s="2">
        <v>20400</v>
      </c>
      <c r="G100" s="2">
        <v>14400</v>
      </c>
      <c r="H100" s="2">
        <v>14400</v>
      </c>
      <c r="I100" s="2">
        <v>8700</v>
      </c>
    </row>
    <row r="102" spans="1:9" ht="18" customHeight="1" x14ac:dyDescent="0.3">
      <c r="A102" s="77" t="s">
        <v>23</v>
      </c>
      <c r="B102" s="78"/>
      <c r="C102" s="79"/>
      <c r="D102" s="79"/>
      <c r="E102" s="79"/>
      <c r="F102" s="79"/>
      <c r="G102" s="79"/>
      <c r="H102" s="79"/>
      <c r="I102" s="79"/>
    </row>
    <row r="103" spans="1:9" ht="55.2" x14ac:dyDescent="0.3">
      <c r="A103" s="28" t="s">
        <v>0</v>
      </c>
      <c r="B103" s="28" t="s">
        <v>1</v>
      </c>
      <c r="C103" s="28" t="s">
        <v>8</v>
      </c>
      <c r="D103" s="34" t="s">
        <v>42</v>
      </c>
      <c r="E103" s="34" t="s">
        <v>37</v>
      </c>
      <c r="F103" s="34" t="s">
        <v>38</v>
      </c>
      <c r="G103" s="28" t="s">
        <v>41</v>
      </c>
      <c r="H103" s="28" t="s">
        <v>39</v>
      </c>
      <c r="I103" s="28" t="s">
        <v>40</v>
      </c>
    </row>
    <row r="104" spans="1:9" ht="18" customHeight="1" x14ac:dyDescent="0.3">
      <c r="A104" s="33" t="s">
        <v>20</v>
      </c>
      <c r="B104" s="2">
        <v>48500</v>
      </c>
      <c r="C104" s="29">
        <v>43000</v>
      </c>
      <c r="D104" s="35">
        <v>41900</v>
      </c>
      <c r="E104" s="35">
        <v>7300</v>
      </c>
      <c r="F104" s="35">
        <v>5400</v>
      </c>
      <c r="G104" s="29">
        <v>43000</v>
      </c>
      <c r="H104" s="29">
        <v>5700</v>
      </c>
      <c r="I104" s="29">
        <v>3100</v>
      </c>
    </row>
    <row r="105" spans="1:9" ht="18" customHeight="1" x14ac:dyDescent="0.3">
      <c r="A105" s="33" t="s">
        <v>21</v>
      </c>
      <c r="B105" s="2">
        <v>48500</v>
      </c>
      <c r="C105" s="29">
        <v>43000</v>
      </c>
      <c r="D105" s="35">
        <v>41900</v>
      </c>
      <c r="E105" s="35">
        <v>7300</v>
      </c>
      <c r="F105" s="35">
        <v>5400</v>
      </c>
      <c r="G105" s="29">
        <v>43000</v>
      </c>
      <c r="H105" s="29">
        <v>5700</v>
      </c>
      <c r="I105" s="29">
        <v>3100</v>
      </c>
    </row>
    <row r="106" spans="1:9" ht="18" customHeight="1" x14ac:dyDescent="0.3">
      <c r="A106" s="33" t="s">
        <v>14</v>
      </c>
      <c r="B106" s="2">
        <v>68500</v>
      </c>
      <c r="C106" s="29">
        <v>61000</v>
      </c>
      <c r="D106" s="35">
        <v>59500</v>
      </c>
      <c r="E106" s="35">
        <v>10300</v>
      </c>
      <c r="F106" s="35">
        <v>8000</v>
      </c>
      <c r="G106" s="29">
        <v>61000</v>
      </c>
      <c r="H106" s="29">
        <v>8100</v>
      </c>
      <c r="I106" s="29">
        <v>4300</v>
      </c>
    </row>
    <row r="107" spans="1:9" ht="18" customHeight="1" x14ac:dyDescent="0.3">
      <c r="A107" s="33" t="s">
        <v>15</v>
      </c>
      <c r="B107" s="2">
        <v>68500</v>
      </c>
      <c r="C107" s="29">
        <v>61000</v>
      </c>
      <c r="D107" s="35">
        <v>59500</v>
      </c>
      <c r="E107" s="35">
        <v>10300</v>
      </c>
      <c r="F107" s="35">
        <v>8000</v>
      </c>
      <c r="G107" s="29">
        <v>61000</v>
      </c>
      <c r="H107" s="29">
        <v>8100</v>
      </c>
      <c r="I107" s="29">
        <v>4300</v>
      </c>
    </row>
    <row r="109" spans="1:9" ht="18" customHeight="1" x14ac:dyDescent="0.3">
      <c r="A109" s="70" t="s">
        <v>24</v>
      </c>
      <c r="B109" s="71"/>
      <c r="C109" s="71"/>
      <c r="D109" s="71"/>
      <c r="E109" s="71"/>
      <c r="F109" s="71"/>
      <c r="G109" s="71"/>
      <c r="H109" s="71"/>
      <c r="I109" s="72"/>
    </row>
    <row r="110" spans="1:9" ht="28.8" x14ac:dyDescent="0.3">
      <c r="A110" s="3" t="s">
        <v>0</v>
      </c>
      <c r="B110" s="3" t="s">
        <v>1</v>
      </c>
      <c r="C110" s="3" t="s">
        <v>2</v>
      </c>
      <c r="D110" s="3" t="s">
        <v>3</v>
      </c>
      <c r="E110" s="3" t="s">
        <v>44</v>
      </c>
      <c r="F110" s="3" t="s">
        <v>4</v>
      </c>
      <c r="G110" s="3" t="s">
        <v>5</v>
      </c>
      <c r="H110" s="3" t="s">
        <v>6</v>
      </c>
      <c r="I110" s="3" t="s">
        <v>7</v>
      </c>
    </row>
    <row r="111" spans="1:9" ht="18" customHeight="1" x14ac:dyDescent="0.3">
      <c r="A111" s="4" t="s">
        <v>20</v>
      </c>
      <c r="B111" s="4">
        <v>61000</v>
      </c>
      <c r="C111" s="4">
        <v>55000</v>
      </c>
      <c r="D111" s="4">
        <v>50400</v>
      </c>
      <c r="E111" s="4">
        <f>SUM(F111:I111)</f>
        <v>52300</v>
      </c>
      <c r="F111" s="4">
        <v>18300</v>
      </c>
      <c r="G111" s="4">
        <v>13100</v>
      </c>
      <c r="H111" s="4">
        <v>13100</v>
      </c>
      <c r="I111" s="4">
        <v>7800</v>
      </c>
    </row>
    <row r="112" spans="1:9" ht="18" customHeight="1" x14ac:dyDescent="0.3">
      <c r="A112" s="4" t="s">
        <v>21</v>
      </c>
      <c r="B112" s="4">
        <v>61000</v>
      </c>
      <c r="C112" s="4">
        <v>55000</v>
      </c>
      <c r="D112" s="4">
        <v>50400</v>
      </c>
      <c r="E112" s="4">
        <f t="shared" ref="E112:E114" si="7">SUM(F112:I112)</f>
        <v>52300</v>
      </c>
      <c r="F112" s="4">
        <v>18300</v>
      </c>
      <c r="G112" s="4">
        <v>13100</v>
      </c>
      <c r="H112" s="4">
        <v>13100</v>
      </c>
      <c r="I112" s="4">
        <v>7800</v>
      </c>
    </row>
    <row r="113" spans="1:9" ht="18" customHeight="1" x14ac:dyDescent="0.3">
      <c r="A113" s="4" t="s">
        <v>14</v>
      </c>
      <c r="B113" s="4">
        <v>81000</v>
      </c>
      <c r="C113" s="4">
        <v>73000</v>
      </c>
      <c r="D113" s="4">
        <v>66900</v>
      </c>
      <c r="E113" s="4">
        <f t="shared" si="7"/>
        <v>69400</v>
      </c>
      <c r="F113" s="4">
        <v>24400</v>
      </c>
      <c r="G113" s="4">
        <v>17300</v>
      </c>
      <c r="H113" s="4">
        <v>17300</v>
      </c>
      <c r="I113" s="4">
        <v>10400</v>
      </c>
    </row>
    <row r="114" spans="1:9" ht="18" customHeight="1" x14ac:dyDescent="0.3">
      <c r="A114" s="4" t="s">
        <v>15</v>
      </c>
      <c r="B114" s="4">
        <v>81000</v>
      </c>
      <c r="C114" s="4">
        <v>73000</v>
      </c>
      <c r="D114" s="4">
        <v>66900</v>
      </c>
      <c r="E114" s="4">
        <f t="shared" si="7"/>
        <v>69400</v>
      </c>
      <c r="F114" s="4">
        <v>24400</v>
      </c>
      <c r="G114" s="4">
        <v>17300</v>
      </c>
      <c r="H114" s="4">
        <v>17300</v>
      </c>
      <c r="I114" s="4">
        <v>10400</v>
      </c>
    </row>
    <row r="116" spans="1:9" ht="18" customHeight="1" x14ac:dyDescent="0.3">
      <c r="A116" s="80" t="s">
        <v>24</v>
      </c>
      <c r="B116" s="81"/>
      <c r="C116" s="82"/>
      <c r="D116" s="82"/>
      <c r="E116" s="82"/>
      <c r="F116" s="82"/>
      <c r="G116" s="82"/>
      <c r="H116" s="82"/>
      <c r="I116" s="82"/>
    </row>
    <row r="117" spans="1:9" ht="55.2" x14ac:dyDescent="0.3">
      <c r="A117" s="30" t="s">
        <v>0</v>
      </c>
      <c r="B117" s="30" t="s">
        <v>1</v>
      </c>
      <c r="C117" s="30" t="s">
        <v>8</v>
      </c>
      <c r="D117" s="25" t="s">
        <v>42</v>
      </c>
      <c r="E117" s="25" t="s">
        <v>37</v>
      </c>
      <c r="F117" s="25" t="s">
        <v>38</v>
      </c>
      <c r="G117" s="30" t="s">
        <v>41</v>
      </c>
      <c r="H117" s="30" t="s">
        <v>39</v>
      </c>
      <c r="I117" s="30" t="s">
        <v>40</v>
      </c>
    </row>
    <row r="118" spans="1:9" ht="18" customHeight="1" x14ac:dyDescent="0.3">
      <c r="A118" s="31" t="s">
        <v>20</v>
      </c>
      <c r="B118" s="4">
        <v>61000</v>
      </c>
      <c r="C118" s="32">
        <v>55000</v>
      </c>
      <c r="D118" s="38">
        <v>53600</v>
      </c>
      <c r="E118" s="38">
        <v>9300</v>
      </c>
      <c r="F118" s="38">
        <v>7100</v>
      </c>
      <c r="G118" s="32">
        <v>55000</v>
      </c>
      <c r="H118" s="32">
        <v>7300</v>
      </c>
      <c r="I118" s="32">
        <v>3900</v>
      </c>
    </row>
    <row r="119" spans="1:9" ht="18" customHeight="1" x14ac:dyDescent="0.3">
      <c r="A119" s="31" t="s">
        <v>21</v>
      </c>
      <c r="B119" s="4">
        <v>61000</v>
      </c>
      <c r="C119" s="32">
        <v>55000</v>
      </c>
      <c r="D119" s="38">
        <v>53600</v>
      </c>
      <c r="E119" s="38">
        <v>9300</v>
      </c>
      <c r="F119" s="38">
        <v>7100</v>
      </c>
      <c r="G119" s="32">
        <v>55000</v>
      </c>
      <c r="H119" s="32">
        <v>7300</v>
      </c>
      <c r="I119" s="32">
        <v>3900</v>
      </c>
    </row>
    <row r="120" spans="1:9" ht="18" customHeight="1" x14ac:dyDescent="0.3">
      <c r="A120" s="31" t="s">
        <v>14</v>
      </c>
      <c r="B120" s="4">
        <v>81000</v>
      </c>
      <c r="C120" s="32">
        <v>73000</v>
      </c>
      <c r="D120" s="38">
        <v>71100</v>
      </c>
      <c r="E120" s="38">
        <v>12400</v>
      </c>
      <c r="F120" s="38">
        <v>9100</v>
      </c>
      <c r="G120" s="32">
        <v>73000</v>
      </c>
      <c r="H120" s="32">
        <v>9700</v>
      </c>
      <c r="I120" s="32">
        <v>5100</v>
      </c>
    </row>
    <row r="121" spans="1:9" ht="18" customHeight="1" x14ac:dyDescent="0.3">
      <c r="A121" s="31" t="s">
        <v>15</v>
      </c>
      <c r="B121" s="4">
        <v>81000</v>
      </c>
      <c r="C121" s="32">
        <v>73000</v>
      </c>
      <c r="D121" s="38">
        <v>71100</v>
      </c>
      <c r="E121" s="38">
        <v>12400</v>
      </c>
      <c r="F121" s="38">
        <v>9100</v>
      </c>
      <c r="G121" s="32">
        <v>73000</v>
      </c>
      <c r="H121" s="32">
        <v>9700</v>
      </c>
      <c r="I121" s="32">
        <v>5100</v>
      </c>
    </row>
    <row r="126" spans="1:9" ht="18" customHeight="1" x14ac:dyDescent="0.3">
      <c r="A126" s="76" t="s">
        <v>25</v>
      </c>
      <c r="B126" s="71"/>
      <c r="C126" s="71"/>
      <c r="D126" s="71"/>
      <c r="E126" s="71"/>
      <c r="F126" s="71"/>
      <c r="G126" s="71"/>
      <c r="H126" s="71"/>
      <c r="I126" s="72"/>
    </row>
    <row r="127" spans="1:9" ht="28.8" x14ac:dyDescent="0.3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44</v>
      </c>
      <c r="F127" s="1" t="s">
        <v>4</v>
      </c>
      <c r="G127" s="1" t="s">
        <v>5</v>
      </c>
      <c r="H127" s="1" t="s">
        <v>6</v>
      </c>
      <c r="I127" s="1" t="s">
        <v>7</v>
      </c>
    </row>
    <row r="128" spans="1:9" ht="18" customHeight="1" x14ac:dyDescent="0.3">
      <c r="A128" s="5" t="s">
        <v>11</v>
      </c>
      <c r="B128" s="5">
        <v>21000</v>
      </c>
      <c r="C128" s="5">
        <v>19000</v>
      </c>
      <c r="D128" s="5">
        <v>17400</v>
      </c>
      <c r="E128" s="5">
        <f>SUM(F128:I128)</f>
        <v>18100</v>
      </c>
      <c r="F128" s="5">
        <v>6400</v>
      </c>
      <c r="G128" s="5">
        <v>4500</v>
      </c>
      <c r="H128" s="5">
        <v>4500</v>
      </c>
      <c r="I128" s="5">
        <v>2700</v>
      </c>
    </row>
    <row r="129" spans="1:9" ht="18" customHeight="1" x14ac:dyDescent="0.3">
      <c r="A129" s="5" t="s">
        <v>26</v>
      </c>
      <c r="B129" s="5">
        <v>27750</v>
      </c>
      <c r="C129" s="5">
        <v>25000</v>
      </c>
      <c r="D129" s="5">
        <v>22900</v>
      </c>
      <c r="E129" s="5">
        <f t="shared" ref="E129:E135" si="8">SUM(F129:I129)</f>
        <v>23800</v>
      </c>
      <c r="F129" s="5">
        <v>8400</v>
      </c>
      <c r="G129" s="5">
        <v>5900</v>
      </c>
      <c r="H129" s="5">
        <v>5900</v>
      </c>
      <c r="I129" s="5">
        <v>3600</v>
      </c>
    </row>
    <row r="130" spans="1:9" ht="18" customHeight="1" x14ac:dyDescent="0.3">
      <c r="A130" s="5" t="s">
        <v>12</v>
      </c>
      <c r="B130" s="5">
        <v>27750</v>
      </c>
      <c r="C130" s="5">
        <v>25000</v>
      </c>
      <c r="D130" s="5">
        <v>22900</v>
      </c>
      <c r="E130" s="5">
        <f t="shared" si="8"/>
        <v>23800</v>
      </c>
      <c r="F130" s="5">
        <v>8400</v>
      </c>
      <c r="G130" s="5">
        <v>5900</v>
      </c>
      <c r="H130" s="5">
        <v>5900</v>
      </c>
      <c r="I130" s="5">
        <v>3600</v>
      </c>
    </row>
    <row r="131" spans="1:9" ht="18" customHeight="1" x14ac:dyDescent="0.3">
      <c r="A131" s="5" t="s">
        <v>20</v>
      </c>
      <c r="B131" s="5">
        <v>34500</v>
      </c>
      <c r="C131" s="5">
        <v>31000</v>
      </c>
      <c r="D131" s="5">
        <v>28400</v>
      </c>
      <c r="E131" s="5">
        <f t="shared" si="8"/>
        <v>29500</v>
      </c>
      <c r="F131" s="5">
        <v>10300</v>
      </c>
      <c r="G131" s="5">
        <v>7400</v>
      </c>
      <c r="H131" s="5">
        <v>7400</v>
      </c>
      <c r="I131" s="5">
        <v>4400</v>
      </c>
    </row>
    <row r="132" spans="1:9" ht="18" customHeight="1" x14ac:dyDescent="0.3">
      <c r="A132" s="5" t="s">
        <v>13</v>
      </c>
      <c r="B132" s="5">
        <v>27750</v>
      </c>
      <c r="C132" s="5">
        <v>25000</v>
      </c>
      <c r="D132" s="5">
        <v>22900</v>
      </c>
      <c r="E132" s="5">
        <f t="shared" si="8"/>
        <v>23800</v>
      </c>
      <c r="F132" s="5">
        <v>8400</v>
      </c>
      <c r="G132" s="5">
        <v>5900</v>
      </c>
      <c r="H132" s="5">
        <v>5900</v>
      </c>
      <c r="I132" s="5">
        <v>3600</v>
      </c>
    </row>
    <row r="133" spans="1:9" ht="18" customHeight="1" x14ac:dyDescent="0.3">
      <c r="A133" s="5" t="s">
        <v>21</v>
      </c>
      <c r="B133" s="5">
        <v>34500</v>
      </c>
      <c r="C133" s="5">
        <v>31000</v>
      </c>
      <c r="D133" s="5">
        <v>28400</v>
      </c>
      <c r="E133" s="5">
        <f t="shared" si="8"/>
        <v>29500</v>
      </c>
      <c r="F133" s="5">
        <v>10300</v>
      </c>
      <c r="G133" s="5">
        <v>7400</v>
      </c>
      <c r="H133" s="5">
        <v>7400</v>
      </c>
      <c r="I133" s="5">
        <v>4400</v>
      </c>
    </row>
    <row r="134" spans="1:9" ht="18" customHeight="1" x14ac:dyDescent="0.3">
      <c r="A134" s="5" t="s">
        <v>27</v>
      </c>
      <c r="B134" s="5">
        <v>41000</v>
      </c>
      <c r="C134" s="5">
        <v>37000</v>
      </c>
      <c r="D134" s="5">
        <v>33900</v>
      </c>
      <c r="E134" s="5">
        <f t="shared" si="8"/>
        <v>35200</v>
      </c>
      <c r="F134" s="5">
        <v>12300</v>
      </c>
      <c r="G134" s="5">
        <v>8800</v>
      </c>
      <c r="H134" s="5">
        <v>8800</v>
      </c>
      <c r="I134" s="5">
        <v>5300</v>
      </c>
    </row>
    <row r="135" spans="1:9" ht="18" customHeight="1" x14ac:dyDescent="0.3">
      <c r="A135" s="5" t="s">
        <v>15</v>
      </c>
      <c r="B135" s="5">
        <v>41000</v>
      </c>
      <c r="C135" s="5">
        <v>37000</v>
      </c>
      <c r="D135" s="5">
        <v>33900</v>
      </c>
      <c r="E135" s="5">
        <f t="shared" si="8"/>
        <v>35200</v>
      </c>
      <c r="F135" s="5">
        <v>12300</v>
      </c>
      <c r="G135" s="5">
        <v>8800</v>
      </c>
      <c r="H135" s="5">
        <v>8800</v>
      </c>
      <c r="I135" s="5">
        <v>5300</v>
      </c>
    </row>
    <row r="136" spans="1:9" ht="18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</row>
    <row r="137" spans="1:9" ht="18" customHeight="1" x14ac:dyDescent="0.3">
      <c r="A137" s="77" t="s">
        <v>25</v>
      </c>
      <c r="B137" s="78"/>
      <c r="C137" s="79"/>
      <c r="D137" s="79"/>
      <c r="E137" s="79"/>
      <c r="F137" s="79"/>
      <c r="G137" s="79"/>
      <c r="H137" s="79"/>
      <c r="I137" s="79"/>
    </row>
    <row r="138" spans="1:9" ht="55.2" x14ac:dyDescent="0.3">
      <c r="A138" s="28" t="s">
        <v>0</v>
      </c>
      <c r="B138" s="28" t="s">
        <v>1</v>
      </c>
      <c r="C138" s="28" t="s">
        <v>8</v>
      </c>
      <c r="D138" s="34" t="s">
        <v>42</v>
      </c>
      <c r="E138" s="34" t="s">
        <v>37</v>
      </c>
      <c r="F138" s="34" t="s">
        <v>38</v>
      </c>
      <c r="G138" s="28" t="s">
        <v>41</v>
      </c>
      <c r="H138" s="28" t="s">
        <v>39</v>
      </c>
      <c r="I138" s="28" t="s">
        <v>40</v>
      </c>
    </row>
    <row r="139" spans="1:9" ht="18" customHeight="1" x14ac:dyDescent="0.3">
      <c r="A139" s="33" t="s">
        <v>11</v>
      </c>
      <c r="B139" s="5">
        <v>21000</v>
      </c>
      <c r="C139" s="29">
        <v>19000</v>
      </c>
      <c r="D139" s="35">
        <v>18600</v>
      </c>
      <c r="E139" s="35">
        <v>3200</v>
      </c>
      <c r="F139" s="35">
        <v>2600</v>
      </c>
      <c r="G139" s="29">
        <v>19000</v>
      </c>
      <c r="H139" s="29">
        <v>2500</v>
      </c>
      <c r="I139" s="29">
        <v>1500</v>
      </c>
    </row>
    <row r="140" spans="1:9" ht="18" customHeight="1" x14ac:dyDescent="0.3">
      <c r="A140" s="33" t="s">
        <v>26</v>
      </c>
      <c r="B140" s="5">
        <v>27750</v>
      </c>
      <c r="C140" s="29">
        <v>25000</v>
      </c>
      <c r="D140" s="35">
        <v>24400</v>
      </c>
      <c r="E140" s="35">
        <v>4200</v>
      </c>
      <c r="F140" s="35">
        <v>3400</v>
      </c>
      <c r="G140" s="29">
        <v>25000</v>
      </c>
      <c r="H140" s="29">
        <v>3300</v>
      </c>
      <c r="I140" s="29">
        <v>1900</v>
      </c>
    </row>
    <row r="141" spans="1:9" ht="18" customHeight="1" x14ac:dyDescent="0.3">
      <c r="A141" s="33" t="s">
        <v>12</v>
      </c>
      <c r="B141" s="5">
        <v>27750</v>
      </c>
      <c r="C141" s="29">
        <v>25000</v>
      </c>
      <c r="D141" s="35">
        <v>24400</v>
      </c>
      <c r="E141" s="35">
        <v>4200</v>
      </c>
      <c r="F141" s="35">
        <v>3400</v>
      </c>
      <c r="G141" s="29">
        <v>25000</v>
      </c>
      <c r="H141" s="29">
        <v>3300</v>
      </c>
      <c r="I141" s="29">
        <v>1900</v>
      </c>
    </row>
    <row r="142" spans="1:9" ht="18" customHeight="1" x14ac:dyDescent="0.3">
      <c r="A142" s="33" t="s">
        <v>20</v>
      </c>
      <c r="B142" s="5">
        <v>34500</v>
      </c>
      <c r="C142" s="29">
        <v>31000</v>
      </c>
      <c r="D142" s="35">
        <v>30200</v>
      </c>
      <c r="E142" s="35">
        <v>5300</v>
      </c>
      <c r="F142" s="35">
        <v>3700</v>
      </c>
      <c r="G142" s="29">
        <v>31000</v>
      </c>
      <c r="H142" s="29">
        <v>4100</v>
      </c>
      <c r="I142" s="29">
        <v>2300</v>
      </c>
    </row>
    <row r="143" spans="1:9" ht="18" customHeight="1" x14ac:dyDescent="0.3">
      <c r="A143" s="33" t="s">
        <v>13</v>
      </c>
      <c r="B143" s="5">
        <v>27750</v>
      </c>
      <c r="C143" s="29">
        <v>25000</v>
      </c>
      <c r="D143" s="35">
        <v>24400</v>
      </c>
      <c r="E143" s="35">
        <v>4200</v>
      </c>
      <c r="F143" s="35">
        <v>3400</v>
      </c>
      <c r="G143" s="29">
        <v>25000</v>
      </c>
      <c r="H143" s="29">
        <v>3300</v>
      </c>
      <c r="I143" s="29">
        <v>1900</v>
      </c>
    </row>
    <row r="144" spans="1:9" ht="18" customHeight="1" x14ac:dyDescent="0.3">
      <c r="A144" s="33" t="s">
        <v>21</v>
      </c>
      <c r="B144" s="5">
        <v>34500</v>
      </c>
      <c r="C144" s="29">
        <v>31000</v>
      </c>
      <c r="D144" s="35">
        <v>30200</v>
      </c>
      <c r="E144" s="35">
        <v>5300</v>
      </c>
      <c r="F144" s="35">
        <v>3700</v>
      </c>
      <c r="G144" s="29">
        <v>31000</v>
      </c>
      <c r="H144" s="29">
        <v>4100</v>
      </c>
      <c r="I144" s="29">
        <v>2300</v>
      </c>
    </row>
    <row r="145" spans="1:9" ht="18" customHeight="1" x14ac:dyDescent="0.3">
      <c r="A145" s="33" t="s">
        <v>14</v>
      </c>
      <c r="B145" s="5">
        <v>41000</v>
      </c>
      <c r="C145" s="29">
        <v>37000</v>
      </c>
      <c r="D145" s="35">
        <v>36100</v>
      </c>
      <c r="E145" s="35">
        <v>6300</v>
      </c>
      <c r="F145" s="35">
        <v>4600</v>
      </c>
      <c r="G145" s="29">
        <v>37000</v>
      </c>
      <c r="H145" s="29">
        <v>4900</v>
      </c>
      <c r="I145" s="29">
        <v>2700</v>
      </c>
    </row>
    <row r="146" spans="1:9" ht="18" customHeight="1" x14ac:dyDescent="0.3">
      <c r="A146" s="33" t="s">
        <v>15</v>
      </c>
      <c r="B146" s="5">
        <v>41000</v>
      </c>
      <c r="C146" s="29">
        <v>37000</v>
      </c>
      <c r="D146" s="35">
        <v>36100</v>
      </c>
      <c r="E146" s="35">
        <v>6300</v>
      </c>
      <c r="F146" s="35">
        <v>4600</v>
      </c>
      <c r="G146" s="29">
        <v>37000</v>
      </c>
      <c r="H146" s="29">
        <v>4900</v>
      </c>
      <c r="I146" s="29">
        <v>2700</v>
      </c>
    </row>
    <row r="147" spans="1:9" ht="18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</row>
    <row r="148" spans="1:9" ht="18" customHeight="1" x14ac:dyDescent="0.3">
      <c r="A148" s="70" t="s">
        <v>28</v>
      </c>
      <c r="B148" s="71"/>
      <c r="C148" s="71"/>
      <c r="D148" s="71"/>
      <c r="E148" s="71"/>
      <c r="F148" s="71"/>
      <c r="G148" s="71"/>
      <c r="H148" s="71"/>
      <c r="I148" s="72"/>
    </row>
    <row r="149" spans="1:9" ht="28.8" x14ac:dyDescent="0.3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44</v>
      </c>
      <c r="F149" s="3" t="s">
        <v>4</v>
      </c>
      <c r="G149" s="3" t="s">
        <v>5</v>
      </c>
      <c r="H149" s="3" t="s">
        <v>6</v>
      </c>
      <c r="I149" s="3" t="s">
        <v>7</v>
      </c>
    </row>
    <row r="150" spans="1:9" ht="18" customHeight="1" x14ac:dyDescent="0.3">
      <c r="A150" s="7" t="s">
        <v>11</v>
      </c>
      <c r="B150" s="8">
        <v>34500</v>
      </c>
      <c r="C150" s="8">
        <v>31000</v>
      </c>
      <c r="D150" s="8">
        <v>28400</v>
      </c>
      <c r="E150" s="8">
        <f>SUM(F150:I150)</f>
        <v>29400</v>
      </c>
      <c r="F150" s="8">
        <v>10400</v>
      </c>
      <c r="G150" s="8">
        <v>7300</v>
      </c>
      <c r="H150" s="8">
        <v>7300</v>
      </c>
      <c r="I150" s="8">
        <v>4400</v>
      </c>
    </row>
    <row r="151" spans="1:9" ht="18" customHeight="1" x14ac:dyDescent="0.3">
      <c r="A151" s="7" t="s">
        <v>26</v>
      </c>
      <c r="B151" s="8">
        <v>41000</v>
      </c>
      <c r="C151" s="8">
        <v>37000</v>
      </c>
      <c r="D151" s="8">
        <v>33900</v>
      </c>
      <c r="E151" s="8">
        <f t="shared" ref="E151:E157" si="9">SUM(F151:I151)</f>
        <v>35100</v>
      </c>
      <c r="F151" s="8">
        <v>12400</v>
      </c>
      <c r="G151" s="8">
        <v>8700</v>
      </c>
      <c r="H151" s="8">
        <v>8700</v>
      </c>
      <c r="I151" s="8">
        <v>5300</v>
      </c>
    </row>
    <row r="152" spans="1:9" ht="18" customHeight="1" x14ac:dyDescent="0.3">
      <c r="A152" s="7" t="s">
        <v>12</v>
      </c>
      <c r="B152" s="8">
        <v>41000</v>
      </c>
      <c r="C152" s="8">
        <v>37000</v>
      </c>
      <c r="D152" s="8">
        <v>33900</v>
      </c>
      <c r="E152" s="8">
        <f t="shared" si="9"/>
        <v>35100</v>
      </c>
      <c r="F152" s="8">
        <v>12400</v>
      </c>
      <c r="G152" s="8">
        <v>8700</v>
      </c>
      <c r="H152" s="8">
        <v>8700</v>
      </c>
      <c r="I152" s="8">
        <v>5300</v>
      </c>
    </row>
    <row r="153" spans="1:9" ht="18" customHeight="1" x14ac:dyDescent="0.3">
      <c r="A153" s="7" t="s">
        <v>20</v>
      </c>
      <c r="B153" s="8">
        <v>47750</v>
      </c>
      <c r="C153" s="8">
        <v>43000</v>
      </c>
      <c r="D153" s="8">
        <v>39400</v>
      </c>
      <c r="E153" s="8">
        <f t="shared" si="9"/>
        <v>40900</v>
      </c>
      <c r="F153" s="8">
        <v>14400</v>
      </c>
      <c r="G153" s="8">
        <v>10200</v>
      </c>
      <c r="H153" s="8">
        <v>10200</v>
      </c>
      <c r="I153" s="8">
        <v>6100</v>
      </c>
    </row>
    <row r="154" spans="1:9" ht="18" customHeight="1" x14ac:dyDescent="0.3">
      <c r="A154" s="7" t="s">
        <v>13</v>
      </c>
      <c r="B154" s="8">
        <v>41000</v>
      </c>
      <c r="C154" s="8">
        <v>37000</v>
      </c>
      <c r="D154" s="8">
        <v>33900</v>
      </c>
      <c r="E154" s="8">
        <f t="shared" si="9"/>
        <v>35100</v>
      </c>
      <c r="F154" s="8">
        <v>12400</v>
      </c>
      <c r="G154" s="8">
        <v>8700</v>
      </c>
      <c r="H154" s="8">
        <v>8700</v>
      </c>
      <c r="I154" s="8">
        <v>5300</v>
      </c>
    </row>
    <row r="155" spans="1:9" ht="18" customHeight="1" x14ac:dyDescent="0.3">
      <c r="A155" s="7" t="s">
        <v>21</v>
      </c>
      <c r="B155" s="8">
        <v>47750</v>
      </c>
      <c r="C155" s="8">
        <v>43000</v>
      </c>
      <c r="D155" s="8">
        <v>39400</v>
      </c>
      <c r="E155" s="8">
        <f t="shared" si="9"/>
        <v>40900</v>
      </c>
      <c r="F155" s="8">
        <v>14400</v>
      </c>
      <c r="G155" s="8">
        <v>10200</v>
      </c>
      <c r="H155" s="8">
        <v>10200</v>
      </c>
      <c r="I155" s="8">
        <v>6100</v>
      </c>
    </row>
    <row r="156" spans="1:9" ht="18" customHeight="1" x14ac:dyDescent="0.3">
      <c r="A156" s="7" t="s">
        <v>27</v>
      </c>
      <c r="B156" s="8">
        <v>54500</v>
      </c>
      <c r="C156" s="8">
        <v>49000</v>
      </c>
      <c r="D156" s="8">
        <v>44900</v>
      </c>
      <c r="E156" s="8">
        <f t="shared" si="9"/>
        <v>46600</v>
      </c>
      <c r="F156" s="8">
        <v>16400</v>
      </c>
      <c r="G156" s="8">
        <v>11600</v>
      </c>
      <c r="H156" s="8">
        <v>11600</v>
      </c>
      <c r="I156" s="8">
        <v>7000</v>
      </c>
    </row>
    <row r="157" spans="1:9" ht="18" customHeight="1" x14ac:dyDescent="0.3">
      <c r="A157" s="7" t="s">
        <v>15</v>
      </c>
      <c r="B157" s="8">
        <v>54500</v>
      </c>
      <c r="C157" s="8">
        <v>49000</v>
      </c>
      <c r="D157" s="8">
        <v>44900</v>
      </c>
      <c r="E157" s="8">
        <f t="shared" si="9"/>
        <v>46600</v>
      </c>
      <c r="F157" s="8">
        <v>16400</v>
      </c>
      <c r="G157" s="8">
        <v>11600</v>
      </c>
      <c r="H157" s="8">
        <v>11600</v>
      </c>
      <c r="I157" s="8">
        <v>7000</v>
      </c>
    </row>
    <row r="158" spans="1:9" ht="18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</row>
    <row r="159" spans="1:9" ht="18" customHeight="1" x14ac:dyDescent="0.3">
      <c r="A159" s="80" t="s">
        <v>28</v>
      </c>
      <c r="B159" s="81"/>
      <c r="C159" s="82"/>
      <c r="D159" s="82"/>
      <c r="E159" s="82"/>
      <c r="F159" s="82"/>
      <c r="G159" s="82"/>
      <c r="H159" s="82"/>
      <c r="I159" s="82"/>
    </row>
    <row r="160" spans="1:9" ht="55.2" x14ac:dyDescent="0.3">
      <c r="A160" s="30" t="s">
        <v>0</v>
      </c>
      <c r="B160" s="30" t="s">
        <v>1</v>
      </c>
      <c r="C160" s="30" t="s">
        <v>8</v>
      </c>
      <c r="D160" s="25" t="s">
        <v>42</v>
      </c>
      <c r="E160" s="25" t="s">
        <v>37</v>
      </c>
      <c r="F160" s="25" t="s">
        <v>38</v>
      </c>
      <c r="G160" s="30" t="s">
        <v>41</v>
      </c>
      <c r="H160" s="30" t="s">
        <v>39</v>
      </c>
      <c r="I160" s="30" t="s">
        <v>40</v>
      </c>
    </row>
    <row r="161" spans="1:9" ht="18" customHeight="1" x14ac:dyDescent="0.3">
      <c r="A161" s="31" t="s">
        <v>11</v>
      </c>
      <c r="B161" s="8">
        <v>34500</v>
      </c>
      <c r="C161" s="32">
        <v>31000</v>
      </c>
      <c r="D161" s="38">
        <v>30200</v>
      </c>
      <c r="E161" s="38">
        <v>5300</v>
      </c>
      <c r="F161" s="38">
        <v>3700</v>
      </c>
      <c r="G161" s="32">
        <v>31000</v>
      </c>
      <c r="H161" s="32">
        <v>4100</v>
      </c>
      <c r="I161" s="32">
        <v>2300</v>
      </c>
    </row>
    <row r="162" spans="1:9" ht="18" customHeight="1" x14ac:dyDescent="0.3">
      <c r="A162" s="31" t="s">
        <v>26</v>
      </c>
      <c r="B162" s="8">
        <v>41000</v>
      </c>
      <c r="C162" s="32">
        <v>37000</v>
      </c>
      <c r="D162" s="38">
        <v>36100</v>
      </c>
      <c r="E162" s="38">
        <v>6300</v>
      </c>
      <c r="F162" s="38">
        <v>4600</v>
      </c>
      <c r="G162" s="32">
        <v>37000</v>
      </c>
      <c r="H162" s="32">
        <v>4900</v>
      </c>
      <c r="I162" s="32">
        <v>2700</v>
      </c>
    </row>
    <row r="163" spans="1:9" ht="18" customHeight="1" x14ac:dyDescent="0.3">
      <c r="A163" s="31" t="s">
        <v>12</v>
      </c>
      <c r="B163" s="8">
        <v>41000</v>
      </c>
      <c r="C163" s="32">
        <v>37000</v>
      </c>
      <c r="D163" s="38">
        <v>36100</v>
      </c>
      <c r="E163" s="38">
        <v>6300</v>
      </c>
      <c r="F163" s="38">
        <v>4600</v>
      </c>
      <c r="G163" s="32">
        <v>37000</v>
      </c>
      <c r="H163" s="32">
        <v>4900</v>
      </c>
      <c r="I163" s="32">
        <v>2700</v>
      </c>
    </row>
    <row r="164" spans="1:9" ht="18" customHeight="1" x14ac:dyDescent="0.3">
      <c r="A164" s="31" t="s">
        <v>20</v>
      </c>
      <c r="B164" s="8">
        <v>47750</v>
      </c>
      <c r="C164" s="32">
        <v>43000</v>
      </c>
      <c r="D164" s="38">
        <v>41900</v>
      </c>
      <c r="E164" s="38">
        <v>7300</v>
      </c>
      <c r="F164" s="38">
        <v>5400</v>
      </c>
      <c r="G164" s="32">
        <v>43000</v>
      </c>
      <c r="H164" s="32">
        <v>5700</v>
      </c>
      <c r="I164" s="32">
        <v>3100</v>
      </c>
    </row>
    <row r="165" spans="1:9" ht="18" customHeight="1" x14ac:dyDescent="0.3">
      <c r="A165" s="31" t="s">
        <v>13</v>
      </c>
      <c r="B165" s="8">
        <v>41000</v>
      </c>
      <c r="C165" s="32">
        <v>37000</v>
      </c>
      <c r="D165" s="38">
        <v>36100</v>
      </c>
      <c r="E165" s="38">
        <v>6300</v>
      </c>
      <c r="F165" s="38">
        <v>4600</v>
      </c>
      <c r="G165" s="32">
        <v>37000</v>
      </c>
      <c r="H165" s="32">
        <v>4900</v>
      </c>
      <c r="I165" s="32">
        <v>2700</v>
      </c>
    </row>
    <row r="166" spans="1:9" ht="18" customHeight="1" x14ac:dyDescent="0.3">
      <c r="A166" s="31" t="s">
        <v>21</v>
      </c>
      <c r="B166" s="8">
        <v>47750</v>
      </c>
      <c r="C166" s="32">
        <v>43000</v>
      </c>
      <c r="D166" s="38">
        <v>41900</v>
      </c>
      <c r="E166" s="38">
        <v>7300</v>
      </c>
      <c r="F166" s="38">
        <v>5400</v>
      </c>
      <c r="G166" s="32">
        <v>43000</v>
      </c>
      <c r="H166" s="32">
        <v>5700</v>
      </c>
      <c r="I166" s="32">
        <v>3100</v>
      </c>
    </row>
    <row r="167" spans="1:9" ht="18" customHeight="1" x14ac:dyDescent="0.3">
      <c r="A167" s="31" t="s">
        <v>14</v>
      </c>
      <c r="B167" s="8">
        <v>54500</v>
      </c>
      <c r="C167" s="32">
        <v>49000</v>
      </c>
      <c r="D167" s="38">
        <v>47800</v>
      </c>
      <c r="E167" s="38">
        <v>8300</v>
      </c>
      <c r="F167" s="38">
        <v>6300</v>
      </c>
      <c r="G167" s="32">
        <v>49000</v>
      </c>
      <c r="H167" s="32">
        <v>6500</v>
      </c>
      <c r="I167" s="32">
        <v>3500</v>
      </c>
    </row>
    <row r="168" spans="1:9" ht="18" customHeight="1" x14ac:dyDescent="0.3">
      <c r="A168" s="31" t="s">
        <v>15</v>
      </c>
      <c r="B168" s="8">
        <v>54500</v>
      </c>
      <c r="C168" s="32">
        <v>49000</v>
      </c>
      <c r="D168" s="38">
        <v>47800</v>
      </c>
      <c r="E168" s="38">
        <v>8300</v>
      </c>
      <c r="F168" s="38">
        <v>6300</v>
      </c>
      <c r="G168" s="32">
        <v>49000</v>
      </c>
      <c r="H168" s="32">
        <v>6500</v>
      </c>
      <c r="I168" s="32">
        <v>3500</v>
      </c>
    </row>
    <row r="169" spans="1:9" ht="18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</row>
    <row r="170" spans="1:9" ht="18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</row>
    <row r="171" spans="1:9" ht="18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</row>
    <row r="172" spans="1:9" ht="18" customHeight="1" x14ac:dyDescent="0.3">
      <c r="A172" s="73" t="s">
        <v>29</v>
      </c>
      <c r="B172" s="74"/>
      <c r="C172" s="74"/>
      <c r="D172" s="74"/>
      <c r="E172" s="74"/>
      <c r="F172" s="74"/>
      <c r="G172" s="74"/>
      <c r="H172" s="74"/>
      <c r="I172" s="74"/>
    </row>
    <row r="173" spans="1:9" ht="28.8" x14ac:dyDescent="0.3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44</v>
      </c>
      <c r="F173" s="1" t="s">
        <v>4</v>
      </c>
      <c r="G173" s="1" t="s">
        <v>5</v>
      </c>
      <c r="H173" s="1" t="s">
        <v>6</v>
      </c>
      <c r="I173" s="1" t="s">
        <v>7</v>
      </c>
    </row>
    <row r="174" spans="1:9" ht="18" customHeight="1" x14ac:dyDescent="0.3">
      <c r="A174" s="5" t="s">
        <v>12</v>
      </c>
      <c r="B174" s="5">
        <v>34500</v>
      </c>
      <c r="C174" s="5">
        <v>31000</v>
      </c>
      <c r="D174" s="5">
        <v>28400</v>
      </c>
      <c r="E174" s="5">
        <f>SUM(F174:I174)</f>
        <v>29500</v>
      </c>
      <c r="F174" s="5">
        <v>10400</v>
      </c>
      <c r="G174" s="5">
        <v>7300</v>
      </c>
      <c r="H174" s="5">
        <v>7300</v>
      </c>
      <c r="I174" s="5">
        <v>4500</v>
      </c>
    </row>
    <row r="175" spans="1:9" ht="18" customHeight="1" x14ac:dyDescent="0.3">
      <c r="A175" s="5" t="s">
        <v>20</v>
      </c>
      <c r="B175" s="5">
        <v>47500</v>
      </c>
      <c r="C175" s="5">
        <v>43000</v>
      </c>
      <c r="D175" s="5">
        <v>39400</v>
      </c>
      <c r="E175" s="5">
        <f t="shared" ref="E175:E179" si="10">SUM(F175:I175)</f>
        <v>40900</v>
      </c>
      <c r="F175" s="5">
        <v>14400</v>
      </c>
      <c r="G175" s="5">
        <v>10200</v>
      </c>
      <c r="H175" s="5">
        <v>10200</v>
      </c>
      <c r="I175" s="5">
        <v>6100</v>
      </c>
    </row>
    <row r="176" spans="1:9" ht="18" customHeight="1" x14ac:dyDescent="0.3">
      <c r="A176" s="5" t="s">
        <v>13</v>
      </c>
      <c r="B176" s="5">
        <v>34500</v>
      </c>
      <c r="C176" s="5">
        <v>31000</v>
      </c>
      <c r="D176" s="5">
        <v>28400</v>
      </c>
      <c r="E176" s="5">
        <f t="shared" si="10"/>
        <v>29500</v>
      </c>
      <c r="F176" s="5">
        <v>10400</v>
      </c>
      <c r="G176" s="5">
        <v>7300</v>
      </c>
      <c r="H176" s="5">
        <v>7300</v>
      </c>
      <c r="I176" s="5">
        <v>4500</v>
      </c>
    </row>
    <row r="177" spans="1:9" ht="18" customHeight="1" x14ac:dyDescent="0.3">
      <c r="A177" s="5" t="s">
        <v>21</v>
      </c>
      <c r="B177" s="5">
        <v>47500</v>
      </c>
      <c r="C177" s="5">
        <v>43000</v>
      </c>
      <c r="D177" s="5">
        <v>39400</v>
      </c>
      <c r="E177" s="5">
        <f t="shared" si="10"/>
        <v>40900</v>
      </c>
      <c r="F177" s="5">
        <v>14400</v>
      </c>
      <c r="G177" s="5">
        <v>10200</v>
      </c>
      <c r="H177" s="5">
        <v>10200</v>
      </c>
      <c r="I177" s="5">
        <v>6100</v>
      </c>
    </row>
    <row r="178" spans="1:9" ht="18" customHeight="1" x14ac:dyDescent="0.3">
      <c r="A178" s="5" t="s">
        <v>27</v>
      </c>
      <c r="B178" s="5">
        <v>61000</v>
      </c>
      <c r="C178" s="5">
        <v>55000</v>
      </c>
      <c r="D178" s="5">
        <v>50400</v>
      </c>
      <c r="E178" s="5">
        <f t="shared" si="10"/>
        <v>52300</v>
      </c>
      <c r="F178" s="5">
        <v>18500</v>
      </c>
      <c r="G178" s="5">
        <v>13000</v>
      </c>
      <c r="H178" s="5">
        <v>13000</v>
      </c>
      <c r="I178" s="5">
        <v>7800</v>
      </c>
    </row>
    <row r="179" spans="1:9" ht="18" customHeight="1" x14ac:dyDescent="0.3">
      <c r="A179" s="5" t="s">
        <v>15</v>
      </c>
      <c r="B179" s="5">
        <v>61000</v>
      </c>
      <c r="C179" s="5">
        <v>55000</v>
      </c>
      <c r="D179" s="5">
        <v>50400</v>
      </c>
      <c r="E179" s="5">
        <f t="shared" si="10"/>
        <v>52300</v>
      </c>
      <c r="F179" s="5">
        <v>18500</v>
      </c>
      <c r="G179" s="5">
        <v>13000</v>
      </c>
      <c r="H179" s="5">
        <v>13000</v>
      </c>
      <c r="I179" s="5">
        <v>7800</v>
      </c>
    </row>
    <row r="180" spans="1:9" ht="18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</row>
    <row r="181" spans="1:9" ht="18" customHeight="1" x14ac:dyDescent="0.3">
      <c r="A181" s="77" t="s">
        <v>29</v>
      </c>
      <c r="B181" s="78"/>
      <c r="C181" s="79"/>
      <c r="D181" s="79"/>
      <c r="E181" s="79"/>
      <c r="F181" s="79"/>
      <c r="G181" s="79"/>
      <c r="H181" s="79"/>
      <c r="I181" s="79"/>
    </row>
    <row r="182" spans="1:9" ht="55.2" x14ac:dyDescent="0.3">
      <c r="A182" s="28" t="s">
        <v>0</v>
      </c>
      <c r="B182" s="28" t="s">
        <v>1</v>
      </c>
      <c r="C182" s="28" t="s">
        <v>8</v>
      </c>
      <c r="D182" s="34" t="s">
        <v>42</v>
      </c>
      <c r="E182" s="34" t="s">
        <v>37</v>
      </c>
      <c r="F182" s="34" t="s">
        <v>38</v>
      </c>
      <c r="G182" s="28" t="s">
        <v>41</v>
      </c>
      <c r="H182" s="28" t="s">
        <v>39</v>
      </c>
      <c r="I182" s="28" t="s">
        <v>40</v>
      </c>
    </row>
    <row r="183" spans="1:9" ht="18" customHeight="1" x14ac:dyDescent="0.3">
      <c r="A183" s="33" t="s">
        <v>12</v>
      </c>
      <c r="B183" s="5">
        <v>34500</v>
      </c>
      <c r="C183" s="29">
        <v>31000</v>
      </c>
      <c r="D183" s="35">
        <v>30200</v>
      </c>
      <c r="E183" s="35">
        <v>5300</v>
      </c>
      <c r="F183" s="35">
        <v>3700</v>
      </c>
      <c r="G183" s="29">
        <v>31000</v>
      </c>
      <c r="H183" s="29">
        <v>4100</v>
      </c>
      <c r="I183" s="29">
        <v>2300</v>
      </c>
    </row>
    <row r="184" spans="1:9" ht="18" customHeight="1" x14ac:dyDescent="0.3">
      <c r="A184" s="33" t="s">
        <v>20</v>
      </c>
      <c r="B184" s="5">
        <v>47500</v>
      </c>
      <c r="C184" s="29">
        <v>43000</v>
      </c>
      <c r="D184" s="35">
        <v>41900</v>
      </c>
      <c r="E184" s="35">
        <v>7300</v>
      </c>
      <c r="F184" s="35">
        <v>5400</v>
      </c>
      <c r="G184" s="29">
        <v>43000</v>
      </c>
      <c r="H184" s="29">
        <v>5700</v>
      </c>
      <c r="I184" s="29">
        <v>3100</v>
      </c>
    </row>
    <row r="185" spans="1:9" ht="18" customHeight="1" x14ac:dyDescent="0.3">
      <c r="A185" s="33" t="s">
        <v>13</v>
      </c>
      <c r="B185" s="5">
        <v>34500</v>
      </c>
      <c r="C185" s="29">
        <v>31000</v>
      </c>
      <c r="D185" s="35">
        <v>30200</v>
      </c>
      <c r="E185" s="35">
        <v>5300</v>
      </c>
      <c r="F185" s="35">
        <v>3700</v>
      </c>
      <c r="G185" s="29">
        <v>31000</v>
      </c>
      <c r="H185" s="29">
        <v>4100</v>
      </c>
      <c r="I185" s="29">
        <v>2300</v>
      </c>
    </row>
    <row r="186" spans="1:9" ht="18" customHeight="1" x14ac:dyDescent="0.3">
      <c r="A186" s="33" t="s">
        <v>21</v>
      </c>
      <c r="B186" s="5">
        <v>47500</v>
      </c>
      <c r="C186" s="29">
        <v>43000</v>
      </c>
      <c r="D186" s="35">
        <v>41900</v>
      </c>
      <c r="E186" s="35">
        <v>7300</v>
      </c>
      <c r="F186" s="35">
        <v>5400</v>
      </c>
      <c r="G186" s="29">
        <v>43000</v>
      </c>
      <c r="H186" s="29">
        <v>5700</v>
      </c>
      <c r="I186" s="29">
        <v>3100</v>
      </c>
    </row>
    <row r="187" spans="1:9" ht="18" customHeight="1" x14ac:dyDescent="0.3">
      <c r="A187" s="33" t="s">
        <v>14</v>
      </c>
      <c r="B187" s="5">
        <v>61000</v>
      </c>
      <c r="C187" s="29">
        <v>55000</v>
      </c>
      <c r="D187" s="35">
        <v>53600</v>
      </c>
      <c r="E187" s="35">
        <v>9300</v>
      </c>
      <c r="F187" s="35">
        <v>7100</v>
      </c>
      <c r="G187" s="29">
        <v>55000</v>
      </c>
      <c r="H187" s="29">
        <v>7300</v>
      </c>
      <c r="I187" s="29">
        <v>3900</v>
      </c>
    </row>
    <row r="188" spans="1:9" ht="18" customHeight="1" x14ac:dyDescent="0.3">
      <c r="A188" s="33" t="s">
        <v>15</v>
      </c>
      <c r="B188" s="5">
        <v>61000</v>
      </c>
      <c r="C188" s="29">
        <v>55000</v>
      </c>
      <c r="D188" s="35">
        <v>53600</v>
      </c>
      <c r="E188" s="35">
        <v>9300</v>
      </c>
      <c r="F188" s="35">
        <v>7100</v>
      </c>
      <c r="G188" s="29">
        <v>55000</v>
      </c>
      <c r="H188" s="29">
        <v>7300</v>
      </c>
      <c r="I188" s="29">
        <v>3900</v>
      </c>
    </row>
    <row r="189" spans="1:9" ht="18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</row>
    <row r="190" spans="1:9" ht="18" customHeight="1" x14ac:dyDescent="0.3">
      <c r="A190" s="70" t="s">
        <v>30</v>
      </c>
      <c r="B190" s="71"/>
      <c r="C190" s="71"/>
      <c r="D190" s="71"/>
      <c r="E190" s="71"/>
      <c r="F190" s="71"/>
      <c r="G190" s="71"/>
      <c r="H190" s="71"/>
      <c r="I190" s="72"/>
    </row>
    <row r="191" spans="1:9" ht="28.8" x14ac:dyDescent="0.3">
      <c r="A191" s="3" t="s">
        <v>0</v>
      </c>
      <c r="B191" s="3" t="s">
        <v>1</v>
      </c>
      <c r="C191" s="3" t="s">
        <v>2</v>
      </c>
      <c r="D191" s="3" t="s">
        <v>3</v>
      </c>
      <c r="E191" s="3" t="s">
        <v>44</v>
      </c>
      <c r="F191" s="3" t="s">
        <v>4</v>
      </c>
      <c r="G191" s="3" t="s">
        <v>5</v>
      </c>
      <c r="H191" s="3" t="s">
        <v>6</v>
      </c>
      <c r="I191" s="3" t="s">
        <v>7</v>
      </c>
    </row>
    <row r="192" spans="1:9" ht="18" customHeight="1" x14ac:dyDescent="0.3">
      <c r="A192" s="4" t="s">
        <v>12</v>
      </c>
      <c r="B192" s="4">
        <v>47500</v>
      </c>
      <c r="C192" s="4">
        <v>43000</v>
      </c>
      <c r="D192" s="4">
        <v>39400</v>
      </c>
      <c r="E192" s="4">
        <f>SUM(F192:I192)</f>
        <v>40800</v>
      </c>
      <c r="F192" s="4">
        <v>14300</v>
      </c>
      <c r="G192" s="4">
        <v>10200</v>
      </c>
      <c r="H192" s="4">
        <v>10200</v>
      </c>
      <c r="I192" s="4">
        <v>6100</v>
      </c>
    </row>
    <row r="193" spans="1:9" ht="18" customHeight="1" x14ac:dyDescent="0.3">
      <c r="A193" s="4" t="s">
        <v>20</v>
      </c>
      <c r="B193" s="4">
        <v>61000</v>
      </c>
      <c r="C193" s="4">
        <v>55000</v>
      </c>
      <c r="D193" s="4">
        <v>50400</v>
      </c>
      <c r="E193" s="4">
        <f t="shared" ref="E193:E197" si="11">SUM(F193:I193)</f>
        <v>52200</v>
      </c>
      <c r="F193" s="4">
        <v>18400</v>
      </c>
      <c r="G193" s="4">
        <v>13000</v>
      </c>
      <c r="H193" s="4">
        <v>13000</v>
      </c>
      <c r="I193" s="4">
        <v>7800</v>
      </c>
    </row>
    <row r="194" spans="1:9" ht="18" customHeight="1" x14ac:dyDescent="0.3">
      <c r="A194" s="4" t="s">
        <v>13</v>
      </c>
      <c r="B194" s="4">
        <v>47500</v>
      </c>
      <c r="C194" s="4">
        <v>43000</v>
      </c>
      <c r="D194" s="4">
        <v>39400</v>
      </c>
      <c r="E194" s="4">
        <f t="shared" si="11"/>
        <v>40800</v>
      </c>
      <c r="F194" s="4">
        <v>14300</v>
      </c>
      <c r="G194" s="4">
        <v>10200</v>
      </c>
      <c r="H194" s="4">
        <v>10200</v>
      </c>
      <c r="I194" s="4">
        <v>6100</v>
      </c>
    </row>
    <row r="195" spans="1:9" ht="18" customHeight="1" x14ac:dyDescent="0.3">
      <c r="A195" s="4" t="s">
        <v>21</v>
      </c>
      <c r="B195" s="4">
        <v>61000</v>
      </c>
      <c r="C195" s="4">
        <v>55000</v>
      </c>
      <c r="D195" s="4">
        <v>50400</v>
      </c>
      <c r="E195" s="4">
        <f t="shared" si="11"/>
        <v>52200</v>
      </c>
      <c r="F195" s="4">
        <v>18400</v>
      </c>
      <c r="G195" s="4">
        <v>13000</v>
      </c>
      <c r="H195" s="4">
        <v>13000</v>
      </c>
      <c r="I195" s="4">
        <v>7800</v>
      </c>
    </row>
    <row r="196" spans="1:9" ht="18" customHeight="1" x14ac:dyDescent="0.3">
      <c r="A196" s="8" t="s">
        <v>27</v>
      </c>
      <c r="B196" s="7">
        <v>74500</v>
      </c>
      <c r="C196" s="7">
        <v>67000</v>
      </c>
      <c r="D196" s="7">
        <v>61400</v>
      </c>
      <c r="E196" s="4">
        <f t="shared" si="11"/>
        <v>63600</v>
      </c>
      <c r="F196" s="7">
        <v>22300</v>
      </c>
      <c r="G196" s="7">
        <v>15900</v>
      </c>
      <c r="H196" s="7">
        <v>15900</v>
      </c>
      <c r="I196" s="7">
        <v>9500</v>
      </c>
    </row>
    <row r="197" spans="1:9" ht="18" customHeight="1" x14ac:dyDescent="0.3">
      <c r="A197" s="8" t="s">
        <v>15</v>
      </c>
      <c r="B197" s="7">
        <v>74500</v>
      </c>
      <c r="C197" s="7">
        <v>67000</v>
      </c>
      <c r="D197" s="7">
        <v>61400</v>
      </c>
      <c r="E197" s="4">
        <f t="shared" si="11"/>
        <v>63600</v>
      </c>
      <c r="F197" s="7">
        <v>22300</v>
      </c>
      <c r="G197" s="7">
        <v>15900</v>
      </c>
      <c r="H197" s="7">
        <v>15900</v>
      </c>
      <c r="I197" s="7">
        <v>9500</v>
      </c>
    </row>
    <row r="199" spans="1:9" ht="18" customHeight="1" x14ac:dyDescent="0.3">
      <c r="A199" s="80" t="s">
        <v>30</v>
      </c>
      <c r="B199" s="81"/>
      <c r="C199" s="82"/>
      <c r="D199" s="82"/>
      <c r="E199" s="82"/>
      <c r="F199" s="82"/>
      <c r="G199" s="82"/>
      <c r="H199" s="82"/>
      <c r="I199" s="82"/>
    </row>
    <row r="200" spans="1:9" ht="55.2" x14ac:dyDescent="0.3">
      <c r="A200" s="30" t="s">
        <v>0</v>
      </c>
      <c r="B200" s="30" t="s">
        <v>1</v>
      </c>
      <c r="C200" s="30" t="s">
        <v>8</v>
      </c>
      <c r="D200" s="25" t="s">
        <v>42</v>
      </c>
      <c r="E200" s="25" t="s">
        <v>37</v>
      </c>
      <c r="F200" s="25" t="s">
        <v>38</v>
      </c>
      <c r="G200" s="30" t="s">
        <v>41</v>
      </c>
      <c r="H200" s="30" t="s">
        <v>39</v>
      </c>
      <c r="I200" s="30" t="s">
        <v>40</v>
      </c>
    </row>
    <row r="201" spans="1:9" ht="18" customHeight="1" x14ac:dyDescent="0.3">
      <c r="A201" s="31" t="s">
        <v>12</v>
      </c>
      <c r="B201" s="4">
        <v>47500</v>
      </c>
      <c r="C201" s="32">
        <v>43000</v>
      </c>
      <c r="D201" s="38">
        <v>41900</v>
      </c>
      <c r="E201" s="38">
        <v>7300</v>
      </c>
      <c r="F201" s="38">
        <v>5400</v>
      </c>
      <c r="G201" s="32">
        <v>43000</v>
      </c>
      <c r="H201" s="32">
        <v>5700</v>
      </c>
      <c r="I201" s="32">
        <v>3100</v>
      </c>
    </row>
    <row r="202" spans="1:9" ht="18" customHeight="1" x14ac:dyDescent="0.3">
      <c r="A202" s="31" t="s">
        <v>20</v>
      </c>
      <c r="B202" s="4">
        <v>61000</v>
      </c>
      <c r="C202" s="32">
        <v>55000</v>
      </c>
      <c r="D202" s="38">
        <v>53600</v>
      </c>
      <c r="E202" s="38">
        <v>9300</v>
      </c>
      <c r="F202" s="38">
        <v>7100</v>
      </c>
      <c r="G202" s="32">
        <v>55000</v>
      </c>
      <c r="H202" s="32">
        <v>7300</v>
      </c>
      <c r="I202" s="32">
        <v>3900</v>
      </c>
    </row>
    <row r="203" spans="1:9" ht="18" customHeight="1" x14ac:dyDescent="0.3">
      <c r="A203" s="31" t="s">
        <v>13</v>
      </c>
      <c r="B203" s="4">
        <v>47500</v>
      </c>
      <c r="C203" s="32">
        <v>43000</v>
      </c>
      <c r="D203" s="38">
        <v>41900</v>
      </c>
      <c r="E203" s="38">
        <v>7300</v>
      </c>
      <c r="F203" s="38">
        <v>5400</v>
      </c>
      <c r="G203" s="32">
        <v>43000</v>
      </c>
      <c r="H203" s="32">
        <v>5700</v>
      </c>
      <c r="I203" s="32">
        <v>3100</v>
      </c>
    </row>
    <row r="204" spans="1:9" ht="18" customHeight="1" x14ac:dyDescent="0.3">
      <c r="A204" s="31" t="s">
        <v>21</v>
      </c>
      <c r="B204" s="4">
        <v>61000</v>
      </c>
      <c r="C204" s="32">
        <v>55000</v>
      </c>
      <c r="D204" s="38">
        <v>53600</v>
      </c>
      <c r="E204" s="38">
        <v>9300</v>
      </c>
      <c r="F204" s="38">
        <v>7100</v>
      </c>
      <c r="G204" s="32">
        <v>55000</v>
      </c>
      <c r="H204" s="32">
        <v>7300</v>
      </c>
      <c r="I204" s="32">
        <v>3900</v>
      </c>
    </row>
    <row r="205" spans="1:9" ht="18" customHeight="1" x14ac:dyDescent="0.3">
      <c r="A205" s="31" t="s">
        <v>14</v>
      </c>
      <c r="B205" s="7">
        <v>74500</v>
      </c>
      <c r="C205" s="32">
        <v>67000</v>
      </c>
      <c r="D205" s="38">
        <v>65300</v>
      </c>
      <c r="E205" s="38">
        <v>11400</v>
      </c>
      <c r="F205" s="38">
        <v>8300</v>
      </c>
      <c r="G205" s="32">
        <v>67000</v>
      </c>
      <c r="H205" s="32">
        <v>8900</v>
      </c>
      <c r="I205" s="32">
        <v>4700</v>
      </c>
    </row>
    <row r="206" spans="1:9" ht="18" customHeight="1" x14ac:dyDescent="0.3">
      <c r="A206" s="31" t="s">
        <v>15</v>
      </c>
      <c r="B206" s="7">
        <v>74500</v>
      </c>
      <c r="C206" s="32">
        <v>67000</v>
      </c>
      <c r="D206" s="38">
        <v>65300</v>
      </c>
      <c r="E206" s="38">
        <v>11400</v>
      </c>
      <c r="F206" s="38">
        <v>8300</v>
      </c>
      <c r="G206" s="32">
        <v>67000</v>
      </c>
      <c r="H206" s="32">
        <v>8900</v>
      </c>
      <c r="I206" s="32">
        <v>4700</v>
      </c>
    </row>
  </sheetData>
  <mergeCells count="24">
    <mergeCell ref="A79:I79"/>
    <mergeCell ref="A9:I9"/>
    <mergeCell ref="A25:I25"/>
    <mergeCell ref="A1:I1"/>
    <mergeCell ref="A17:I17"/>
    <mergeCell ref="A35:I35"/>
    <mergeCell ref="A49:I49"/>
    <mergeCell ref="A65:I65"/>
    <mergeCell ref="A199:I199"/>
    <mergeCell ref="A42:I42"/>
    <mergeCell ref="A56:I56"/>
    <mergeCell ref="A72:I72"/>
    <mergeCell ref="A86:I86"/>
    <mergeCell ref="A102:I102"/>
    <mergeCell ref="A116:I116"/>
    <mergeCell ref="A95:I95"/>
    <mergeCell ref="A109:I109"/>
    <mergeCell ref="A126:I126"/>
    <mergeCell ref="A148:I148"/>
    <mergeCell ref="A172:I172"/>
    <mergeCell ref="A190:I190"/>
    <mergeCell ref="A137:I137"/>
    <mergeCell ref="A159:I159"/>
    <mergeCell ref="A181:I181"/>
  </mergeCells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69"/>
  <sheetViews>
    <sheetView workbookViewId="0">
      <selection activeCell="D19" sqref="D19"/>
    </sheetView>
  </sheetViews>
  <sheetFormatPr defaultColWidth="8.77734375" defaultRowHeight="14.4" x14ac:dyDescent="0.3"/>
  <cols>
    <col min="1" max="3" width="13.33203125" customWidth="1"/>
    <col min="4" max="4" width="15.109375" customWidth="1"/>
    <col min="5" max="9" width="13.33203125" customWidth="1"/>
  </cols>
  <sheetData>
    <row r="4" spans="1:9" ht="18" customHeight="1" x14ac:dyDescent="0.3">
      <c r="A4" s="73" t="s">
        <v>36</v>
      </c>
      <c r="B4" s="74"/>
      <c r="C4" s="74"/>
      <c r="D4" s="74"/>
      <c r="E4" s="74"/>
      <c r="F4" s="74"/>
      <c r="G4" s="74"/>
      <c r="H4" s="74"/>
      <c r="I4" s="74"/>
    </row>
    <row r="5" spans="1:9" s="21" customFormat="1" ht="28.8" x14ac:dyDescent="0.3">
      <c r="A5" s="1" t="s">
        <v>0</v>
      </c>
      <c r="B5" s="1" t="s">
        <v>1</v>
      </c>
      <c r="C5" s="1" t="s">
        <v>2</v>
      </c>
      <c r="D5" s="1" t="s">
        <v>43</v>
      </c>
      <c r="E5" s="1" t="s">
        <v>44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ht="18" customHeight="1" x14ac:dyDescent="0.3">
      <c r="A6" s="2" t="s">
        <v>11</v>
      </c>
      <c r="B6" s="2">
        <v>17000</v>
      </c>
      <c r="C6" s="2">
        <v>15400</v>
      </c>
      <c r="D6" s="22">
        <v>14100</v>
      </c>
      <c r="E6" s="22">
        <f>SUM(F6:I6)</f>
        <v>14600</v>
      </c>
      <c r="F6" s="2">
        <v>5100</v>
      </c>
      <c r="G6" s="2">
        <v>3600</v>
      </c>
      <c r="H6" s="2">
        <v>3600</v>
      </c>
      <c r="I6" s="2">
        <v>2300</v>
      </c>
    </row>
    <row r="7" spans="1:9" ht="18" customHeight="1" x14ac:dyDescent="0.3">
      <c r="A7" s="2" t="s">
        <v>12</v>
      </c>
      <c r="B7" s="2">
        <v>19750</v>
      </c>
      <c r="C7" s="2">
        <v>17800</v>
      </c>
      <c r="D7" s="22">
        <v>16300</v>
      </c>
      <c r="E7" s="22">
        <f t="shared" ref="E7:E10" si="0">SUM(F7:I7)</f>
        <v>16900</v>
      </c>
      <c r="F7" s="2">
        <v>5900</v>
      </c>
      <c r="G7" s="2">
        <v>4200</v>
      </c>
      <c r="H7" s="2">
        <v>4200</v>
      </c>
      <c r="I7" s="2">
        <v>2600</v>
      </c>
    </row>
    <row r="8" spans="1:9" ht="18" customHeight="1" x14ac:dyDescent="0.3">
      <c r="A8" s="2" t="s">
        <v>13</v>
      </c>
      <c r="B8" s="2">
        <v>19750</v>
      </c>
      <c r="C8" s="2">
        <v>17800</v>
      </c>
      <c r="D8" s="22">
        <v>16300</v>
      </c>
      <c r="E8" s="22">
        <f t="shared" si="0"/>
        <v>16900</v>
      </c>
      <c r="F8" s="2">
        <v>5900</v>
      </c>
      <c r="G8" s="2">
        <v>4200</v>
      </c>
      <c r="H8" s="2">
        <v>4200</v>
      </c>
      <c r="I8" s="2">
        <v>2600</v>
      </c>
    </row>
    <row r="9" spans="1:9" ht="18" customHeight="1" x14ac:dyDescent="0.3">
      <c r="A9" s="2" t="s">
        <v>14</v>
      </c>
      <c r="B9" s="2">
        <v>21000</v>
      </c>
      <c r="C9" s="2">
        <v>19000</v>
      </c>
      <c r="D9" s="22">
        <v>17400</v>
      </c>
      <c r="E9" s="22">
        <f t="shared" si="0"/>
        <v>18000</v>
      </c>
      <c r="F9" s="2">
        <v>6300</v>
      </c>
      <c r="G9" s="2">
        <v>4500</v>
      </c>
      <c r="H9" s="2">
        <v>4500</v>
      </c>
      <c r="I9" s="2">
        <v>2700</v>
      </c>
    </row>
    <row r="10" spans="1:9" ht="18" customHeight="1" x14ac:dyDescent="0.3">
      <c r="A10" s="2" t="s">
        <v>15</v>
      </c>
      <c r="B10" s="2">
        <v>21000</v>
      </c>
      <c r="C10" s="2">
        <v>19000</v>
      </c>
      <c r="D10" s="22">
        <v>17400</v>
      </c>
      <c r="E10" s="22">
        <f t="shared" si="0"/>
        <v>18000</v>
      </c>
      <c r="F10" s="2">
        <v>6300</v>
      </c>
      <c r="G10" s="2">
        <v>4500</v>
      </c>
      <c r="H10" s="2">
        <v>4500</v>
      </c>
      <c r="I10" s="2">
        <v>2700</v>
      </c>
    </row>
    <row r="11" spans="1:9" ht="18" customHeight="1" x14ac:dyDescent="0.3">
      <c r="A11" s="2" t="s">
        <v>52</v>
      </c>
      <c r="B11" s="2">
        <v>17500</v>
      </c>
      <c r="C11" s="2">
        <v>15500</v>
      </c>
      <c r="D11" s="22">
        <f>C11-1200</f>
        <v>14300</v>
      </c>
      <c r="E11" s="22">
        <v>14750</v>
      </c>
      <c r="F11" s="2">
        <v>4500</v>
      </c>
      <c r="G11" s="2">
        <v>3500</v>
      </c>
      <c r="H11" s="2">
        <v>3500</v>
      </c>
      <c r="I11" s="2">
        <f>E11-SUM(F11:H11)</f>
        <v>3250</v>
      </c>
    </row>
    <row r="12" spans="1:9" ht="18" customHeight="1" x14ac:dyDescent="0.3"/>
    <row r="13" spans="1:9" ht="18" customHeight="1" x14ac:dyDescent="0.3"/>
    <row r="14" spans="1:9" ht="18" customHeight="1" x14ac:dyDescent="0.3"/>
    <row r="15" spans="1:9" ht="18" customHeight="1" x14ac:dyDescent="0.3"/>
    <row r="16" spans="1:9" ht="18" customHeight="1" x14ac:dyDescent="0.3">
      <c r="A16" s="77" t="s">
        <v>36</v>
      </c>
      <c r="B16" s="78"/>
      <c r="C16" s="79"/>
      <c r="D16" s="79"/>
      <c r="E16" s="79"/>
      <c r="F16" s="79"/>
      <c r="G16" s="79"/>
      <c r="H16" s="79"/>
      <c r="I16" s="79"/>
    </row>
    <row r="17" spans="1:9" ht="55.2" x14ac:dyDescent="0.3">
      <c r="A17" s="28" t="s">
        <v>0</v>
      </c>
      <c r="B17" s="28" t="s">
        <v>1</v>
      </c>
      <c r="C17" s="28" t="s">
        <v>8</v>
      </c>
      <c r="D17" s="36" t="s">
        <v>42</v>
      </c>
      <c r="E17" s="36" t="s">
        <v>37</v>
      </c>
      <c r="F17" s="36" t="s">
        <v>38</v>
      </c>
      <c r="G17" s="28" t="s">
        <v>41</v>
      </c>
      <c r="H17" s="28" t="s">
        <v>39</v>
      </c>
      <c r="I17" s="28" t="s">
        <v>40</v>
      </c>
    </row>
    <row r="18" spans="1:9" ht="18" customHeight="1" x14ac:dyDescent="0.3">
      <c r="A18" s="58" t="s">
        <v>11</v>
      </c>
      <c r="B18" s="2">
        <v>17000</v>
      </c>
      <c r="C18" s="55">
        <v>15400</v>
      </c>
      <c r="D18" s="56">
        <v>15000</v>
      </c>
      <c r="E18" s="56">
        <v>2600</v>
      </c>
      <c r="F18" s="56">
        <v>2000</v>
      </c>
      <c r="G18" s="55">
        <v>15400</v>
      </c>
      <c r="H18" s="55">
        <v>2000</v>
      </c>
      <c r="I18" s="55">
        <v>1400</v>
      </c>
    </row>
    <row r="19" spans="1:9" ht="18" customHeight="1" x14ac:dyDescent="0.3">
      <c r="A19" s="58" t="s">
        <v>12</v>
      </c>
      <c r="B19" s="2">
        <v>19750</v>
      </c>
      <c r="C19" s="55">
        <v>17800</v>
      </c>
      <c r="D19" s="56">
        <v>17300</v>
      </c>
      <c r="E19" s="56">
        <v>3000</v>
      </c>
      <c r="F19" s="56">
        <v>2300</v>
      </c>
      <c r="G19" s="55">
        <v>17800</v>
      </c>
      <c r="H19" s="55">
        <v>2400</v>
      </c>
      <c r="I19" s="55">
        <v>1000</v>
      </c>
    </row>
    <row r="20" spans="1:9" ht="18" customHeight="1" x14ac:dyDescent="0.3">
      <c r="A20" s="58" t="s">
        <v>13</v>
      </c>
      <c r="B20" s="2">
        <v>19750</v>
      </c>
      <c r="C20" s="55">
        <v>17800</v>
      </c>
      <c r="D20" s="56">
        <v>17300</v>
      </c>
      <c r="E20" s="56">
        <v>3000</v>
      </c>
      <c r="F20" s="56">
        <v>2300</v>
      </c>
      <c r="G20" s="55">
        <v>17800</v>
      </c>
      <c r="H20" s="55">
        <v>2400</v>
      </c>
      <c r="I20" s="55">
        <v>1000</v>
      </c>
    </row>
    <row r="21" spans="1:9" ht="18" customHeight="1" x14ac:dyDescent="0.3">
      <c r="A21" s="58" t="s">
        <v>14</v>
      </c>
      <c r="B21" s="2">
        <v>21000</v>
      </c>
      <c r="C21" s="55">
        <v>19000</v>
      </c>
      <c r="D21" s="56">
        <v>18500</v>
      </c>
      <c r="E21" s="56">
        <v>3200</v>
      </c>
      <c r="F21" s="56">
        <v>2500</v>
      </c>
      <c r="G21" s="55">
        <v>19000</v>
      </c>
      <c r="H21" s="55">
        <v>2500</v>
      </c>
      <c r="I21" s="55">
        <v>1500</v>
      </c>
    </row>
    <row r="22" spans="1:9" ht="18" customHeight="1" x14ac:dyDescent="0.3">
      <c r="A22" s="58" t="s">
        <v>15</v>
      </c>
      <c r="B22" s="2">
        <v>21000</v>
      </c>
      <c r="C22" s="55">
        <v>19000</v>
      </c>
      <c r="D22" s="56">
        <v>18500</v>
      </c>
      <c r="E22" s="56">
        <v>3200</v>
      </c>
      <c r="F22" s="56">
        <v>2500</v>
      </c>
      <c r="G22" s="55">
        <v>19000</v>
      </c>
      <c r="H22" s="55">
        <v>2500</v>
      </c>
      <c r="I22" s="55">
        <v>1500</v>
      </c>
    </row>
    <row r="23" spans="1:9" ht="18" customHeight="1" x14ac:dyDescent="0.3">
      <c r="A23" s="2" t="s">
        <v>52</v>
      </c>
      <c r="B23" s="2">
        <v>17500</v>
      </c>
      <c r="C23" s="2">
        <v>15500</v>
      </c>
      <c r="D23" s="56">
        <v>15100</v>
      </c>
      <c r="E23" s="56">
        <v>2700</v>
      </c>
      <c r="F23" s="56">
        <f>D23-E23*5</f>
        <v>1600</v>
      </c>
      <c r="G23" s="55">
        <v>15500</v>
      </c>
      <c r="H23" s="55">
        <v>2000</v>
      </c>
      <c r="I23" s="55">
        <f>G23-H23*7</f>
        <v>1500</v>
      </c>
    </row>
    <row r="24" spans="1:9" ht="18" customHeight="1" x14ac:dyDescent="0.3"/>
    <row r="25" spans="1:9" ht="18" customHeight="1" x14ac:dyDescent="0.3"/>
    <row r="26" spans="1:9" ht="18" customHeight="1" x14ac:dyDescent="0.3"/>
    <row r="27" spans="1:9" ht="18" customHeight="1" x14ac:dyDescent="0.3"/>
    <row r="28" spans="1:9" ht="18" customHeight="1" x14ac:dyDescent="0.3"/>
    <row r="29" spans="1:9" ht="18" customHeight="1" x14ac:dyDescent="0.3"/>
    <row r="30" spans="1:9" ht="18" customHeight="1" x14ac:dyDescent="0.3"/>
    <row r="31" spans="1:9" ht="18" customHeight="1" x14ac:dyDescent="0.3"/>
    <row r="32" spans="1:9" ht="18" customHeight="1" x14ac:dyDescent="0.3"/>
    <row r="33" spans="1:9" ht="18" customHeight="1" x14ac:dyDescent="0.3"/>
    <row r="34" spans="1:9" ht="18" customHeight="1" x14ac:dyDescent="0.3">
      <c r="A34" s="70" t="s">
        <v>16</v>
      </c>
      <c r="B34" s="71"/>
      <c r="C34" s="71"/>
      <c r="D34" s="71"/>
      <c r="E34" s="71"/>
      <c r="F34" s="71"/>
      <c r="G34" s="71"/>
      <c r="H34" s="71"/>
      <c r="I34" s="72"/>
    </row>
    <row r="35" spans="1:9" ht="28.8" x14ac:dyDescent="0.3">
      <c r="A35" s="3" t="s">
        <v>0</v>
      </c>
      <c r="B35" s="3" t="s">
        <v>1</v>
      </c>
      <c r="C35" s="3" t="s">
        <v>2</v>
      </c>
      <c r="D35" s="3" t="s">
        <v>3</v>
      </c>
      <c r="E35" s="3" t="s">
        <v>44</v>
      </c>
      <c r="F35" s="3" t="s">
        <v>4</v>
      </c>
      <c r="G35" s="3" t="s">
        <v>5</v>
      </c>
      <c r="H35" s="3" t="s">
        <v>6</v>
      </c>
      <c r="I35" s="3" t="s">
        <v>7</v>
      </c>
    </row>
    <row r="36" spans="1:9" ht="18" customHeight="1" x14ac:dyDescent="0.3">
      <c r="A36" s="4" t="s">
        <v>11</v>
      </c>
      <c r="B36" s="4">
        <v>27750</v>
      </c>
      <c r="C36" s="4">
        <v>25000</v>
      </c>
      <c r="D36" s="4">
        <v>22900</v>
      </c>
      <c r="E36" s="4">
        <f>SUM(F36:I36)</f>
        <v>23700</v>
      </c>
      <c r="F36" s="4">
        <v>8300</v>
      </c>
      <c r="G36" s="4">
        <v>5900</v>
      </c>
      <c r="H36" s="4">
        <v>5900</v>
      </c>
      <c r="I36" s="4">
        <v>3600</v>
      </c>
    </row>
    <row r="37" spans="1:9" ht="18" customHeight="1" x14ac:dyDescent="0.3">
      <c r="A37" s="4" t="s">
        <v>12</v>
      </c>
      <c r="B37" s="4">
        <v>27750</v>
      </c>
      <c r="C37" s="4">
        <v>25000</v>
      </c>
      <c r="D37" s="4">
        <v>22900</v>
      </c>
      <c r="E37" s="4">
        <f t="shared" ref="E37:E40" si="1">SUM(F37:I37)</f>
        <v>23700</v>
      </c>
      <c r="F37" s="4">
        <v>8300</v>
      </c>
      <c r="G37" s="4">
        <v>5900</v>
      </c>
      <c r="H37" s="4">
        <v>5900</v>
      </c>
      <c r="I37" s="4">
        <v>3600</v>
      </c>
    </row>
    <row r="38" spans="1:9" ht="18" customHeight="1" x14ac:dyDescent="0.3">
      <c r="A38" s="4" t="s">
        <v>13</v>
      </c>
      <c r="B38" s="4">
        <v>27750</v>
      </c>
      <c r="C38" s="4">
        <v>25000</v>
      </c>
      <c r="D38" s="4">
        <v>22900</v>
      </c>
      <c r="E38" s="4">
        <f t="shared" si="1"/>
        <v>23700</v>
      </c>
      <c r="F38" s="4">
        <v>8300</v>
      </c>
      <c r="G38" s="4">
        <v>5900</v>
      </c>
      <c r="H38" s="4">
        <v>5900</v>
      </c>
      <c r="I38" s="4">
        <v>3600</v>
      </c>
    </row>
    <row r="39" spans="1:9" ht="18" customHeight="1" x14ac:dyDescent="0.3">
      <c r="A39" s="4" t="s">
        <v>14</v>
      </c>
      <c r="B39" s="4">
        <v>34500</v>
      </c>
      <c r="C39" s="4">
        <v>31000</v>
      </c>
      <c r="D39" s="4">
        <v>28400</v>
      </c>
      <c r="E39" s="4">
        <f t="shared" si="1"/>
        <v>29400</v>
      </c>
      <c r="F39" s="4">
        <v>10300</v>
      </c>
      <c r="G39" s="4">
        <v>7300</v>
      </c>
      <c r="H39" s="4">
        <v>7300</v>
      </c>
      <c r="I39" s="4">
        <v>4500</v>
      </c>
    </row>
    <row r="40" spans="1:9" ht="18" customHeight="1" x14ac:dyDescent="0.3">
      <c r="A40" s="4" t="s">
        <v>15</v>
      </c>
      <c r="B40" s="4">
        <v>34500</v>
      </c>
      <c r="C40" s="4">
        <v>31000</v>
      </c>
      <c r="D40" s="4">
        <v>28400</v>
      </c>
      <c r="E40" s="4">
        <f t="shared" si="1"/>
        <v>29400</v>
      </c>
      <c r="F40" s="4">
        <v>10300</v>
      </c>
      <c r="G40" s="4">
        <v>7300</v>
      </c>
      <c r="H40" s="4">
        <v>7300</v>
      </c>
      <c r="I40" s="4">
        <v>4500</v>
      </c>
    </row>
    <row r="41" spans="1:9" ht="18" customHeight="1" x14ac:dyDescent="0.3">
      <c r="A41" s="4" t="s">
        <v>52</v>
      </c>
      <c r="B41" s="4">
        <v>25000</v>
      </c>
      <c r="C41" s="4">
        <v>22000</v>
      </c>
      <c r="D41" s="4">
        <f>C41-1750</f>
        <v>20250</v>
      </c>
      <c r="E41" s="4">
        <v>21000</v>
      </c>
      <c r="F41" s="4">
        <v>7500</v>
      </c>
      <c r="G41" s="4">
        <v>5000</v>
      </c>
      <c r="H41" s="4">
        <v>5000</v>
      </c>
      <c r="I41" s="4">
        <f>E41-SUM(F41:H41)</f>
        <v>3500</v>
      </c>
    </row>
    <row r="42" spans="1:9" ht="18" customHeight="1" x14ac:dyDescent="0.3"/>
    <row r="43" spans="1:9" ht="18" customHeight="1" x14ac:dyDescent="0.3"/>
    <row r="44" spans="1:9" ht="18" customHeight="1" x14ac:dyDescent="0.3"/>
    <row r="45" spans="1:9" ht="18" customHeight="1" x14ac:dyDescent="0.3"/>
    <row r="46" spans="1:9" ht="18" customHeight="1" x14ac:dyDescent="0.3">
      <c r="A46" s="80" t="s">
        <v>16</v>
      </c>
      <c r="B46" s="81"/>
      <c r="C46" s="82"/>
      <c r="D46" s="82"/>
      <c r="E46" s="82"/>
      <c r="F46" s="82"/>
      <c r="G46" s="82"/>
      <c r="H46" s="82"/>
      <c r="I46" s="82"/>
    </row>
    <row r="47" spans="1:9" ht="55.2" x14ac:dyDescent="0.3">
      <c r="A47" s="30" t="s">
        <v>0</v>
      </c>
      <c r="B47" s="30" t="s">
        <v>1</v>
      </c>
      <c r="C47" s="30" t="s">
        <v>8</v>
      </c>
      <c r="D47" s="25" t="s">
        <v>42</v>
      </c>
      <c r="E47" s="25" t="s">
        <v>37</v>
      </c>
      <c r="F47" s="25" t="s">
        <v>38</v>
      </c>
      <c r="G47" s="30" t="s">
        <v>41</v>
      </c>
      <c r="H47" s="30" t="s">
        <v>39</v>
      </c>
      <c r="I47" s="30" t="s">
        <v>40</v>
      </c>
    </row>
    <row r="48" spans="1:9" ht="18" customHeight="1" x14ac:dyDescent="0.3">
      <c r="A48" s="57" t="s">
        <v>11</v>
      </c>
      <c r="B48" s="4">
        <v>27750</v>
      </c>
      <c r="C48" s="4">
        <v>25000</v>
      </c>
      <c r="D48" s="53">
        <v>24400</v>
      </c>
      <c r="E48" s="53">
        <v>4200</v>
      </c>
      <c r="F48" s="53">
        <v>3400</v>
      </c>
      <c r="G48" s="4">
        <v>25000</v>
      </c>
      <c r="H48" s="54">
        <v>3300</v>
      </c>
      <c r="I48" s="54">
        <v>1900</v>
      </c>
    </row>
    <row r="49" spans="1:9" ht="18" customHeight="1" x14ac:dyDescent="0.3">
      <c r="A49" s="57" t="s">
        <v>12</v>
      </c>
      <c r="B49" s="4">
        <v>27750</v>
      </c>
      <c r="C49" s="4">
        <v>25000</v>
      </c>
      <c r="D49" s="53">
        <v>24400</v>
      </c>
      <c r="E49" s="53">
        <v>4200</v>
      </c>
      <c r="F49" s="53">
        <v>3400</v>
      </c>
      <c r="G49" s="4">
        <v>25000</v>
      </c>
      <c r="H49" s="54">
        <v>3300</v>
      </c>
      <c r="I49" s="54">
        <v>1900</v>
      </c>
    </row>
    <row r="50" spans="1:9" ht="18" customHeight="1" x14ac:dyDescent="0.3">
      <c r="A50" s="57" t="s">
        <v>13</v>
      </c>
      <c r="B50" s="4">
        <v>27750</v>
      </c>
      <c r="C50" s="4">
        <v>25000</v>
      </c>
      <c r="D50" s="53">
        <v>24400</v>
      </c>
      <c r="E50" s="53">
        <v>4200</v>
      </c>
      <c r="F50" s="53">
        <v>3400</v>
      </c>
      <c r="G50" s="4">
        <v>25000</v>
      </c>
      <c r="H50" s="54">
        <v>3300</v>
      </c>
      <c r="I50" s="54">
        <v>1900</v>
      </c>
    </row>
    <row r="51" spans="1:9" ht="18" customHeight="1" x14ac:dyDescent="0.3">
      <c r="A51" s="57" t="s">
        <v>14</v>
      </c>
      <c r="B51" s="4">
        <v>34500</v>
      </c>
      <c r="C51" s="4">
        <v>31000</v>
      </c>
      <c r="D51" s="53">
        <v>30200</v>
      </c>
      <c r="E51" s="53">
        <v>5300</v>
      </c>
      <c r="F51" s="53">
        <v>3700</v>
      </c>
      <c r="G51" s="4">
        <v>31000</v>
      </c>
      <c r="H51" s="54">
        <v>4000</v>
      </c>
      <c r="I51" s="54">
        <f>G51-H51*7</f>
        <v>3000</v>
      </c>
    </row>
    <row r="52" spans="1:9" ht="18" customHeight="1" x14ac:dyDescent="0.3">
      <c r="A52" s="57" t="s">
        <v>15</v>
      </c>
      <c r="B52" s="4">
        <v>34500</v>
      </c>
      <c r="C52" s="4">
        <v>31000</v>
      </c>
      <c r="D52" s="53">
        <v>30200</v>
      </c>
      <c r="E52" s="53">
        <v>5300</v>
      </c>
      <c r="F52" s="53">
        <v>3700</v>
      </c>
      <c r="G52" s="4">
        <v>31000</v>
      </c>
      <c r="H52" s="54">
        <v>4000</v>
      </c>
      <c r="I52" s="54">
        <f>G52-H52*7</f>
        <v>3000</v>
      </c>
    </row>
    <row r="53" spans="1:9" ht="18" customHeight="1" x14ac:dyDescent="0.3">
      <c r="A53" s="52" t="s">
        <v>52</v>
      </c>
      <c r="B53" s="4">
        <v>25000</v>
      </c>
      <c r="C53" s="4">
        <v>22000</v>
      </c>
      <c r="D53" s="51">
        <v>21500</v>
      </c>
      <c r="E53" s="53">
        <v>4000</v>
      </c>
      <c r="F53" s="53">
        <f>D53-E53*5</f>
        <v>1500</v>
      </c>
      <c r="G53" s="4">
        <v>22000</v>
      </c>
      <c r="H53" s="54">
        <v>3000</v>
      </c>
      <c r="I53" s="54">
        <f>G53-H53*7</f>
        <v>1000</v>
      </c>
    </row>
    <row r="54" spans="1:9" ht="18" customHeight="1" x14ac:dyDescent="0.3"/>
    <row r="55" spans="1:9" ht="18" customHeight="1" x14ac:dyDescent="0.3"/>
    <row r="56" spans="1:9" ht="18" customHeight="1" x14ac:dyDescent="0.3"/>
    <row r="57" spans="1:9" ht="18" customHeight="1" x14ac:dyDescent="0.3"/>
    <row r="58" spans="1:9" ht="18" customHeight="1" x14ac:dyDescent="0.3"/>
    <row r="59" spans="1:9" ht="18" customHeight="1" x14ac:dyDescent="0.3"/>
    <row r="60" spans="1:9" ht="18" customHeight="1" x14ac:dyDescent="0.3"/>
    <row r="61" spans="1:9" ht="18" customHeight="1" x14ac:dyDescent="0.3"/>
    <row r="62" spans="1:9" ht="18" customHeight="1" x14ac:dyDescent="0.3"/>
    <row r="63" spans="1:9" ht="18" customHeight="1" x14ac:dyDescent="0.3"/>
    <row r="64" spans="1:9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</sheetData>
  <mergeCells count="4">
    <mergeCell ref="A4:I4"/>
    <mergeCell ref="A16:I16"/>
    <mergeCell ref="A34:I34"/>
    <mergeCell ref="A46:I46"/>
  </mergeCells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08"/>
  <sheetViews>
    <sheetView zoomScale="111" workbookViewId="0">
      <selection activeCell="F15" sqref="F15"/>
    </sheetView>
  </sheetViews>
  <sheetFormatPr defaultColWidth="8.77734375" defaultRowHeight="14.4" x14ac:dyDescent="0.3"/>
  <cols>
    <col min="1" max="3" width="13.33203125" customWidth="1"/>
    <col min="4" max="4" width="15.109375" customWidth="1"/>
    <col min="5" max="9" width="13.33203125" customWidth="1"/>
  </cols>
  <sheetData>
    <row r="4" spans="1:9" ht="18" customHeight="1" x14ac:dyDescent="0.3">
      <c r="A4" s="73" t="s">
        <v>17</v>
      </c>
      <c r="B4" s="74"/>
      <c r="C4" s="74"/>
      <c r="D4" s="74"/>
      <c r="E4" s="74"/>
      <c r="F4" s="74"/>
      <c r="G4" s="74"/>
      <c r="H4" s="74"/>
      <c r="I4" s="74"/>
    </row>
    <row r="5" spans="1:9" ht="28.8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44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ht="18" customHeight="1" x14ac:dyDescent="0.3">
      <c r="A6" s="2" t="s">
        <v>12</v>
      </c>
      <c r="B6" s="2">
        <v>19750</v>
      </c>
      <c r="C6" s="2">
        <v>17800</v>
      </c>
      <c r="D6" s="2">
        <v>16300</v>
      </c>
      <c r="E6" s="2">
        <f>SUM(F6:I6)</f>
        <v>16900</v>
      </c>
      <c r="F6" s="2">
        <v>5900</v>
      </c>
      <c r="G6" s="2">
        <v>4200</v>
      </c>
      <c r="H6" s="2">
        <v>4200</v>
      </c>
      <c r="I6" s="2">
        <v>2600</v>
      </c>
    </row>
    <row r="7" spans="1:9" ht="18" customHeight="1" x14ac:dyDescent="0.3">
      <c r="A7" s="2" t="s">
        <v>13</v>
      </c>
      <c r="B7" s="2">
        <v>19750</v>
      </c>
      <c r="C7" s="2">
        <v>17800</v>
      </c>
      <c r="D7" s="2">
        <v>16300</v>
      </c>
      <c r="E7" s="2">
        <f t="shared" ref="E7:E9" si="0">SUM(F7:I7)</f>
        <v>16900</v>
      </c>
      <c r="F7" s="2">
        <v>5900</v>
      </c>
      <c r="G7" s="2">
        <v>4200</v>
      </c>
      <c r="H7" s="2">
        <v>4200</v>
      </c>
      <c r="I7" s="2">
        <v>2600</v>
      </c>
    </row>
    <row r="8" spans="1:9" ht="18" customHeight="1" x14ac:dyDescent="0.3">
      <c r="A8" s="2" t="s">
        <v>14</v>
      </c>
      <c r="B8" s="2">
        <v>21000</v>
      </c>
      <c r="C8" s="2">
        <v>19000</v>
      </c>
      <c r="D8" s="2">
        <v>17400</v>
      </c>
      <c r="E8" s="2">
        <f t="shared" si="0"/>
        <v>18000</v>
      </c>
      <c r="F8" s="2">
        <v>6300</v>
      </c>
      <c r="G8" s="2">
        <v>4500</v>
      </c>
      <c r="H8" s="2">
        <v>4500</v>
      </c>
      <c r="I8" s="2">
        <v>2700</v>
      </c>
    </row>
    <row r="9" spans="1:9" ht="18" customHeight="1" x14ac:dyDescent="0.3">
      <c r="A9" s="2" t="s">
        <v>15</v>
      </c>
      <c r="B9" s="2">
        <v>21000</v>
      </c>
      <c r="C9" s="2">
        <v>19000</v>
      </c>
      <c r="D9" s="2">
        <v>17400</v>
      </c>
      <c r="E9" s="2">
        <f t="shared" si="0"/>
        <v>18000</v>
      </c>
      <c r="F9" s="2">
        <v>6300</v>
      </c>
      <c r="G9" s="2">
        <v>4500</v>
      </c>
      <c r="H9" s="2">
        <v>4500</v>
      </c>
      <c r="I9" s="2">
        <v>2700</v>
      </c>
    </row>
    <row r="10" spans="1:9" ht="18" customHeight="1" x14ac:dyDescent="0.3">
      <c r="A10" s="2" t="s">
        <v>52</v>
      </c>
      <c r="B10" s="2">
        <v>17500</v>
      </c>
      <c r="C10" s="2">
        <v>15500</v>
      </c>
      <c r="D10" s="22">
        <f>C10-1200</f>
        <v>14300</v>
      </c>
      <c r="E10" s="22">
        <v>14750</v>
      </c>
      <c r="F10" s="2">
        <v>4500</v>
      </c>
      <c r="G10" s="2">
        <v>3500</v>
      </c>
      <c r="H10" s="2">
        <v>3500</v>
      </c>
      <c r="I10" s="2">
        <f>E10-SUM(F10:H10)</f>
        <v>3250</v>
      </c>
    </row>
    <row r="11" spans="1:9" ht="18" customHeight="1" x14ac:dyDescent="0.3"/>
    <row r="12" spans="1:9" ht="18" customHeight="1" x14ac:dyDescent="0.3"/>
    <row r="13" spans="1:9" ht="18" customHeight="1" x14ac:dyDescent="0.3"/>
    <row r="14" spans="1:9" ht="18" customHeight="1" x14ac:dyDescent="0.3">
      <c r="A14" s="77" t="s">
        <v>17</v>
      </c>
      <c r="B14" s="78"/>
      <c r="C14" s="79"/>
      <c r="D14" s="79"/>
      <c r="E14" s="79"/>
      <c r="F14" s="79"/>
      <c r="G14" s="79"/>
      <c r="H14" s="79"/>
      <c r="I14" s="79"/>
    </row>
    <row r="15" spans="1:9" ht="55.2" x14ac:dyDescent="0.3">
      <c r="A15" s="28" t="s">
        <v>0</v>
      </c>
      <c r="B15" s="28" t="s">
        <v>1</v>
      </c>
      <c r="C15" s="28" t="s">
        <v>8</v>
      </c>
      <c r="D15" s="34" t="s">
        <v>42</v>
      </c>
      <c r="E15" s="34" t="s">
        <v>37</v>
      </c>
      <c r="F15" s="34" t="s">
        <v>38</v>
      </c>
      <c r="G15" s="28" t="s">
        <v>41</v>
      </c>
      <c r="H15" s="28" t="s">
        <v>39</v>
      </c>
      <c r="I15" s="28" t="s">
        <v>40</v>
      </c>
    </row>
    <row r="16" spans="1:9" ht="18" customHeight="1" x14ac:dyDescent="0.3">
      <c r="A16" s="33" t="s">
        <v>12</v>
      </c>
      <c r="B16" s="2">
        <v>19750</v>
      </c>
      <c r="C16" s="29">
        <v>17800</v>
      </c>
      <c r="D16" s="35">
        <v>17400</v>
      </c>
      <c r="E16" s="35">
        <v>3000</v>
      </c>
      <c r="F16" s="35">
        <v>2400</v>
      </c>
      <c r="G16" s="29">
        <v>17800</v>
      </c>
      <c r="H16" s="29">
        <v>2400</v>
      </c>
      <c r="I16" s="29">
        <v>1000</v>
      </c>
    </row>
    <row r="17" spans="1:9" ht="18" customHeight="1" x14ac:dyDescent="0.3">
      <c r="A17" s="33" t="s">
        <v>13</v>
      </c>
      <c r="B17" s="2">
        <v>19750</v>
      </c>
      <c r="C17" s="29">
        <v>17800</v>
      </c>
      <c r="D17" s="35">
        <v>17400</v>
      </c>
      <c r="E17" s="35">
        <v>3000</v>
      </c>
      <c r="F17" s="35">
        <v>2400</v>
      </c>
      <c r="G17" s="29">
        <v>17800</v>
      </c>
      <c r="H17" s="29">
        <v>2400</v>
      </c>
      <c r="I17" s="29">
        <v>1000</v>
      </c>
    </row>
    <row r="18" spans="1:9" ht="18" customHeight="1" x14ac:dyDescent="0.3">
      <c r="A18" s="33" t="s">
        <v>14</v>
      </c>
      <c r="B18" s="2">
        <v>21000</v>
      </c>
      <c r="C18" s="29">
        <v>19000</v>
      </c>
      <c r="D18" s="35">
        <v>18500</v>
      </c>
      <c r="E18" s="35">
        <v>3200</v>
      </c>
      <c r="F18" s="35">
        <v>2500</v>
      </c>
      <c r="G18" s="29">
        <v>19000</v>
      </c>
      <c r="H18" s="29">
        <v>2500</v>
      </c>
      <c r="I18" s="29">
        <v>1500</v>
      </c>
    </row>
    <row r="19" spans="1:9" ht="18" customHeight="1" x14ac:dyDescent="0.3">
      <c r="A19" s="33" t="s">
        <v>15</v>
      </c>
      <c r="B19" s="2">
        <v>21000</v>
      </c>
      <c r="C19" s="29">
        <v>19000</v>
      </c>
      <c r="D19" s="35">
        <v>18500</v>
      </c>
      <c r="E19" s="35">
        <v>3200</v>
      </c>
      <c r="F19" s="35">
        <v>2500</v>
      </c>
      <c r="G19" s="29">
        <v>19000</v>
      </c>
      <c r="H19" s="29">
        <v>2500</v>
      </c>
      <c r="I19" s="29">
        <v>1500</v>
      </c>
    </row>
    <row r="20" spans="1:9" ht="18" customHeight="1" x14ac:dyDescent="0.3">
      <c r="A20" s="2" t="s">
        <v>52</v>
      </c>
      <c r="B20" s="2">
        <v>17500</v>
      </c>
      <c r="C20" s="2">
        <v>15500</v>
      </c>
      <c r="D20" s="56">
        <v>15100</v>
      </c>
      <c r="E20" s="56">
        <v>2700</v>
      </c>
      <c r="F20" s="56">
        <f>D20-E20*5</f>
        <v>1600</v>
      </c>
      <c r="G20" s="55">
        <v>15500</v>
      </c>
      <c r="H20" s="55">
        <v>2000</v>
      </c>
      <c r="I20" s="55">
        <f>G20-H20*7</f>
        <v>1500</v>
      </c>
    </row>
    <row r="21" spans="1:9" ht="18" customHeight="1" x14ac:dyDescent="0.3"/>
    <row r="22" spans="1:9" ht="18" customHeight="1" x14ac:dyDescent="0.3"/>
    <row r="23" spans="1:9" ht="18" customHeight="1" x14ac:dyDescent="0.3"/>
    <row r="24" spans="1:9" ht="18" customHeight="1" x14ac:dyDescent="0.3"/>
    <row r="25" spans="1:9" ht="18" customHeight="1" x14ac:dyDescent="0.3"/>
    <row r="26" spans="1:9" ht="18" customHeight="1" x14ac:dyDescent="0.3"/>
    <row r="27" spans="1:9" ht="18" customHeight="1" x14ac:dyDescent="0.3"/>
    <row r="28" spans="1:9" ht="18" customHeight="1" x14ac:dyDescent="0.3"/>
    <row r="29" spans="1:9" ht="18" customHeight="1" x14ac:dyDescent="0.3"/>
    <row r="30" spans="1:9" ht="18" customHeight="1" x14ac:dyDescent="0.3"/>
    <row r="31" spans="1:9" ht="18" customHeight="1" x14ac:dyDescent="0.3"/>
    <row r="32" spans="1:9" ht="18" customHeight="1" x14ac:dyDescent="0.3"/>
    <row r="33" spans="1:9" ht="18" customHeight="1" x14ac:dyDescent="0.3">
      <c r="A33" s="70" t="s">
        <v>18</v>
      </c>
      <c r="B33" s="71"/>
      <c r="C33" s="71"/>
      <c r="D33" s="71"/>
      <c r="E33" s="71"/>
      <c r="F33" s="71"/>
      <c r="G33" s="71"/>
      <c r="H33" s="71"/>
      <c r="I33" s="72"/>
    </row>
    <row r="34" spans="1:9" ht="28.8" x14ac:dyDescent="0.3">
      <c r="A34" s="3" t="s">
        <v>0</v>
      </c>
      <c r="B34" s="3" t="s">
        <v>1</v>
      </c>
      <c r="C34" s="3" t="s">
        <v>2</v>
      </c>
      <c r="D34" s="3" t="s">
        <v>3</v>
      </c>
      <c r="E34" s="3" t="s">
        <v>44</v>
      </c>
      <c r="F34" s="3" t="s">
        <v>4</v>
      </c>
      <c r="G34" s="3" t="s">
        <v>5</v>
      </c>
      <c r="H34" s="3" t="s">
        <v>6</v>
      </c>
      <c r="I34" s="3" t="s">
        <v>7</v>
      </c>
    </row>
    <row r="35" spans="1:9" ht="18" customHeight="1" x14ac:dyDescent="0.3">
      <c r="A35" s="4" t="s">
        <v>12</v>
      </c>
      <c r="B35" s="4">
        <v>27750</v>
      </c>
      <c r="C35" s="4">
        <v>25000</v>
      </c>
      <c r="D35" s="4">
        <v>22700</v>
      </c>
      <c r="E35" s="4">
        <f>SUM(F35:I35)</f>
        <v>23700</v>
      </c>
      <c r="F35" s="4">
        <v>8300</v>
      </c>
      <c r="G35" s="4">
        <v>5900</v>
      </c>
      <c r="H35" s="4">
        <v>5900</v>
      </c>
      <c r="I35" s="4">
        <v>3600</v>
      </c>
    </row>
    <row r="36" spans="1:9" ht="18" customHeight="1" x14ac:dyDescent="0.3">
      <c r="A36" s="4" t="s">
        <v>13</v>
      </c>
      <c r="B36" s="4">
        <v>27750</v>
      </c>
      <c r="C36" s="4">
        <v>25000</v>
      </c>
      <c r="D36" s="4">
        <v>22700</v>
      </c>
      <c r="E36" s="4">
        <f t="shared" ref="E36:E38" si="1">SUM(F36:I36)</f>
        <v>23700</v>
      </c>
      <c r="F36" s="4">
        <v>8300</v>
      </c>
      <c r="G36" s="4">
        <v>5900</v>
      </c>
      <c r="H36" s="4">
        <v>5900</v>
      </c>
      <c r="I36" s="4">
        <v>3600</v>
      </c>
    </row>
    <row r="37" spans="1:9" ht="18" customHeight="1" x14ac:dyDescent="0.3">
      <c r="A37" s="4" t="s">
        <v>14</v>
      </c>
      <c r="B37" s="4">
        <v>34500</v>
      </c>
      <c r="C37" s="4">
        <v>31000</v>
      </c>
      <c r="D37" s="4">
        <v>28200</v>
      </c>
      <c r="E37" s="4">
        <f t="shared" si="1"/>
        <v>29400</v>
      </c>
      <c r="F37" s="4">
        <v>10300</v>
      </c>
      <c r="G37" s="4">
        <v>7300</v>
      </c>
      <c r="H37" s="4">
        <v>7300</v>
      </c>
      <c r="I37" s="4">
        <v>4500</v>
      </c>
    </row>
    <row r="38" spans="1:9" ht="18" customHeight="1" x14ac:dyDescent="0.3">
      <c r="A38" s="4" t="s">
        <v>15</v>
      </c>
      <c r="B38" s="4">
        <v>34500</v>
      </c>
      <c r="C38" s="4">
        <v>31000</v>
      </c>
      <c r="D38" s="4">
        <v>28200</v>
      </c>
      <c r="E38" s="4">
        <f t="shared" si="1"/>
        <v>29400</v>
      </c>
      <c r="F38" s="4">
        <v>10300</v>
      </c>
      <c r="G38" s="4">
        <v>7300</v>
      </c>
      <c r="H38" s="4">
        <v>7300</v>
      </c>
      <c r="I38" s="4">
        <v>4500</v>
      </c>
    </row>
    <row r="39" spans="1:9" ht="18" customHeight="1" x14ac:dyDescent="0.3">
      <c r="A39" s="4" t="s">
        <v>52</v>
      </c>
      <c r="B39" s="4">
        <v>25000</v>
      </c>
      <c r="C39" s="4">
        <v>22000</v>
      </c>
      <c r="D39" s="4">
        <f>C39-1750</f>
        <v>20250</v>
      </c>
      <c r="E39" s="4">
        <v>21000</v>
      </c>
      <c r="F39" s="4">
        <v>7500</v>
      </c>
      <c r="G39" s="4">
        <v>5000</v>
      </c>
      <c r="H39" s="4">
        <v>5000</v>
      </c>
      <c r="I39" s="4">
        <f>E39-SUM(F39:H39)</f>
        <v>3500</v>
      </c>
    </row>
    <row r="40" spans="1:9" ht="18" customHeight="1" x14ac:dyDescent="0.3"/>
    <row r="41" spans="1:9" ht="18" customHeight="1" x14ac:dyDescent="0.3"/>
    <row r="42" spans="1:9" ht="18" customHeight="1" x14ac:dyDescent="0.3"/>
    <row r="43" spans="1:9" ht="18" customHeight="1" x14ac:dyDescent="0.3"/>
    <row r="44" spans="1:9" ht="18" customHeight="1" x14ac:dyDescent="0.3">
      <c r="A44" s="80" t="s">
        <v>18</v>
      </c>
      <c r="B44" s="81"/>
      <c r="C44" s="82"/>
      <c r="D44" s="82"/>
      <c r="E44" s="82"/>
      <c r="F44" s="82"/>
      <c r="G44" s="82"/>
      <c r="H44" s="82"/>
      <c r="I44" s="82"/>
    </row>
    <row r="45" spans="1:9" ht="55.2" x14ac:dyDescent="0.3">
      <c r="A45" s="30" t="s">
        <v>0</v>
      </c>
      <c r="B45" s="30" t="s">
        <v>1</v>
      </c>
      <c r="C45" s="30" t="s">
        <v>8</v>
      </c>
      <c r="D45" s="25" t="s">
        <v>42</v>
      </c>
      <c r="E45" s="25" t="s">
        <v>37</v>
      </c>
      <c r="F45" s="25" t="s">
        <v>38</v>
      </c>
      <c r="G45" s="30" t="s">
        <v>41</v>
      </c>
      <c r="H45" s="30" t="s">
        <v>39</v>
      </c>
      <c r="I45" s="30" t="s">
        <v>40</v>
      </c>
    </row>
    <row r="46" spans="1:9" ht="18" customHeight="1" x14ac:dyDescent="0.3">
      <c r="A46" s="31" t="s">
        <v>12</v>
      </c>
      <c r="B46" s="4">
        <v>27750</v>
      </c>
      <c r="C46" s="32">
        <v>25000</v>
      </c>
      <c r="D46" s="38">
        <v>24400</v>
      </c>
      <c r="E46" s="38">
        <v>4200</v>
      </c>
      <c r="F46" s="38">
        <v>3400</v>
      </c>
      <c r="G46" s="32">
        <v>25000</v>
      </c>
      <c r="H46" s="32">
        <v>3300</v>
      </c>
      <c r="I46" s="32">
        <v>1900</v>
      </c>
    </row>
    <row r="47" spans="1:9" ht="18" customHeight="1" x14ac:dyDescent="0.3">
      <c r="A47" s="31" t="s">
        <v>13</v>
      </c>
      <c r="B47" s="4">
        <v>27750</v>
      </c>
      <c r="C47" s="32">
        <v>25000</v>
      </c>
      <c r="D47" s="38">
        <v>24400</v>
      </c>
      <c r="E47" s="38">
        <v>4200</v>
      </c>
      <c r="F47" s="38">
        <v>3400</v>
      </c>
      <c r="G47" s="32">
        <v>25000</v>
      </c>
      <c r="H47" s="32">
        <v>3300</v>
      </c>
      <c r="I47" s="32">
        <v>1900</v>
      </c>
    </row>
    <row r="48" spans="1:9" ht="18" customHeight="1" x14ac:dyDescent="0.3">
      <c r="A48" s="31" t="s">
        <v>14</v>
      </c>
      <c r="B48" s="4">
        <v>34500</v>
      </c>
      <c r="C48" s="32">
        <v>31000</v>
      </c>
      <c r="D48" s="38">
        <v>30200</v>
      </c>
      <c r="E48" s="38">
        <v>5300</v>
      </c>
      <c r="F48" s="38">
        <v>3700</v>
      </c>
      <c r="G48" s="32">
        <v>31000</v>
      </c>
      <c r="H48" s="32">
        <v>4100</v>
      </c>
      <c r="I48" s="32">
        <v>2300</v>
      </c>
    </row>
    <row r="49" spans="1:9" ht="18" customHeight="1" x14ac:dyDescent="0.3">
      <c r="A49" s="31" t="s">
        <v>15</v>
      </c>
      <c r="B49" s="4">
        <v>34500</v>
      </c>
      <c r="C49" s="32">
        <v>31000</v>
      </c>
      <c r="D49" s="38">
        <v>30200</v>
      </c>
      <c r="E49" s="38">
        <v>5300</v>
      </c>
      <c r="F49" s="38">
        <v>3700</v>
      </c>
      <c r="G49" s="32">
        <v>31000</v>
      </c>
      <c r="H49" s="32">
        <v>4100</v>
      </c>
      <c r="I49" s="32">
        <v>2300</v>
      </c>
    </row>
    <row r="50" spans="1:9" ht="18" customHeight="1" x14ac:dyDescent="0.3">
      <c r="A50" s="52" t="s">
        <v>52</v>
      </c>
      <c r="B50" s="4">
        <v>25000</v>
      </c>
      <c r="C50" s="4">
        <v>22000</v>
      </c>
      <c r="D50" s="51">
        <v>21500</v>
      </c>
      <c r="E50" s="53">
        <v>4000</v>
      </c>
      <c r="F50" s="53">
        <f>D50-E50*5</f>
        <v>1500</v>
      </c>
      <c r="G50" s="4">
        <v>22000</v>
      </c>
      <c r="H50" s="54">
        <v>3000</v>
      </c>
      <c r="I50" s="54">
        <f>G50-H50*7</f>
        <v>1000</v>
      </c>
    </row>
    <row r="51" spans="1:9" ht="18" customHeight="1" x14ac:dyDescent="0.3"/>
    <row r="52" spans="1:9" ht="18" customHeight="1" x14ac:dyDescent="0.3"/>
    <row r="53" spans="1:9" ht="18" customHeight="1" x14ac:dyDescent="0.3"/>
    <row r="55" spans="1:9" ht="18" customHeight="1" x14ac:dyDescent="0.3"/>
    <row r="56" spans="1:9" ht="18" customHeight="1" x14ac:dyDescent="0.3"/>
    <row r="57" spans="1:9" ht="18" customHeight="1" x14ac:dyDescent="0.3"/>
    <row r="58" spans="1:9" ht="18" customHeight="1" x14ac:dyDescent="0.3"/>
    <row r="59" spans="1:9" ht="18" customHeight="1" x14ac:dyDescent="0.3"/>
    <row r="60" spans="1:9" ht="18" customHeight="1" x14ac:dyDescent="0.3"/>
    <row r="62" spans="1:9" ht="18" customHeight="1" x14ac:dyDescent="0.3"/>
    <row r="63" spans="1:9" ht="18" customHeight="1" x14ac:dyDescent="0.3"/>
    <row r="64" spans="1:9" ht="18" customHeight="1" x14ac:dyDescent="0.3"/>
    <row r="65" ht="18" customHeight="1" x14ac:dyDescent="0.3"/>
    <row r="66" ht="18" customHeight="1" x14ac:dyDescent="0.3"/>
    <row r="67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</sheetData>
  <mergeCells count="4">
    <mergeCell ref="A33:I33"/>
    <mergeCell ref="A44:I44"/>
    <mergeCell ref="A4:I4"/>
    <mergeCell ref="A14:I14"/>
  </mergeCells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65"/>
  <sheetViews>
    <sheetView workbookViewId="0">
      <selection activeCell="F23" sqref="F23"/>
    </sheetView>
  </sheetViews>
  <sheetFormatPr defaultColWidth="8.77734375" defaultRowHeight="14.4" x14ac:dyDescent="0.3"/>
  <cols>
    <col min="1" max="3" width="13.33203125" customWidth="1"/>
    <col min="4" max="4" width="15.109375" customWidth="1"/>
    <col min="5" max="9" width="13.33203125" customWidth="1"/>
  </cols>
  <sheetData>
    <row r="5" spans="1:9" ht="18" customHeight="1" x14ac:dyDescent="0.3">
      <c r="A5" s="73" t="s">
        <v>19</v>
      </c>
      <c r="B5" s="74"/>
      <c r="C5" s="74"/>
      <c r="D5" s="74"/>
      <c r="E5" s="74"/>
      <c r="F5" s="74"/>
      <c r="G5" s="74"/>
      <c r="H5" s="74"/>
      <c r="I5" s="74"/>
    </row>
    <row r="6" spans="1:9" ht="28.8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44</v>
      </c>
      <c r="F6" s="1" t="s">
        <v>4</v>
      </c>
      <c r="G6" s="1" t="s">
        <v>5</v>
      </c>
      <c r="H6" s="1" t="s">
        <v>6</v>
      </c>
      <c r="I6" s="1" t="s">
        <v>7</v>
      </c>
    </row>
    <row r="7" spans="1:9" ht="18" customHeight="1" x14ac:dyDescent="0.3">
      <c r="A7" s="2" t="s">
        <v>12</v>
      </c>
      <c r="B7" s="2">
        <v>19750</v>
      </c>
      <c r="C7" s="2">
        <v>17800</v>
      </c>
      <c r="D7" s="2">
        <v>16300</v>
      </c>
      <c r="E7" s="2">
        <f>SUM(F7:I7)</f>
        <v>16900</v>
      </c>
      <c r="F7" s="2">
        <v>5900</v>
      </c>
      <c r="G7" s="2">
        <v>4200</v>
      </c>
      <c r="H7" s="2">
        <v>4200</v>
      </c>
      <c r="I7" s="2">
        <v>2600</v>
      </c>
    </row>
    <row r="8" spans="1:9" ht="18" customHeight="1" x14ac:dyDescent="0.3">
      <c r="A8" s="2" t="s">
        <v>20</v>
      </c>
      <c r="B8" s="2">
        <v>27750</v>
      </c>
      <c r="C8" s="2">
        <v>25000</v>
      </c>
      <c r="D8" s="2">
        <v>22900</v>
      </c>
      <c r="E8" s="2">
        <f t="shared" ref="E8:E10" si="0">SUM(F8:I8)</f>
        <v>23700</v>
      </c>
      <c r="F8" s="2">
        <v>8300</v>
      </c>
      <c r="G8" s="2">
        <v>5900</v>
      </c>
      <c r="H8" s="2">
        <v>5900</v>
      </c>
      <c r="I8" s="2">
        <v>3600</v>
      </c>
    </row>
    <row r="9" spans="1:9" ht="18" customHeight="1" x14ac:dyDescent="0.3">
      <c r="A9" s="2" t="s">
        <v>13</v>
      </c>
      <c r="B9" s="2">
        <v>19750</v>
      </c>
      <c r="C9" s="2">
        <v>17800</v>
      </c>
      <c r="D9" s="2">
        <v>16300</v>
      </c>
      <c r="E9" s="2">
        <f t="shared" si="0"/>
        <v>16900</v>
      </c>
      <c r="F9" s="2">
        <v>5900</v>
      </c>
      <c r="G9" s="2">
        <v>4200</v>
      </c>
      <c r="H9" s="2">
        <v>4200</v>
      </c>
      <c r="I9" s="2">
        <v>2600</v>
      </c>
    </row>
    <row r="10" spans="1:9" ht="18" customHeight="1" x14ac:dyDescent="0.3">
      <c r="A10" s="2" t="s">
        <v>21</v>
      </c>
      <c r="B10" s="2">
        <v>27750</v>
      </c>
      <c r="C10" s="2">
        <v>25000</v>
      </c>
      <c r="D10" s="2">
        <v>22900</v>
      </c>
      <c r="E10" s="2">
        <f t="shared" si="0"/>
        <v>23700</v>
      </c>
      <c r="F10" s="2">
        <v>8300</v>
      </c>
      <c r="G10" s="2">
        <v>5900</v>
      </c>
      <c r="H10" s="2">
        <v>5900</v>
      </c>
      <c r="I10" s="2">
        <v>3600</v>
      </c>
    </row>
    <row r="11" spans="1:9" ht="18" customHeight="1" x14ac:dyDescent="0.3"/>
    <row r="12" spans="1:9" ht="18" customHeight="1" x14ac:dyDescent="0.3"/>
    <row r="13" spans="1:9" ht="18" customHeight="1" x14ac:dyDescent="0.3"/>
    <row r="14" spans="1:9" ht="18" customHeight="1" x14ac:dyDescent="0.3"/>
    <row r="15" spans="1:9" ht="18" customHeight="1" x14ac:dyDescent="0.3"/>
    <row r="16" spans="1:9" ht="18" customHeight="1" x14ac:dyDescent="0.3">
      <c r="A16" s="77" t="s">
        <v>19</v>
      </c>
      <c r="B16" s="78"/>
      <c r="C16" s="79"/>
      <c r="D16" s="79"/>
      <c r="E16" s="79"/>
      <c r="F16" s="79"/>
      <c r="G16" s="79"/>
      <c r="H16" s="79"/>
      <c r="I16" s="79"/>
    </row>
    <row r="17" spans="1:9" ht="55.2" x14ac:dyDescent="0.3">
      <c r="A17" s="28" t="s">
        <v>0</v>
      </c>
      <c r="B17" s="28" t="s">
        <v>1</v>
      </c>
      <c r="C17" s="28" t="s">
        <v>8</v>
      </c>
      <c r="D17" s="34" t="s">
        <v>42</v>
      </c>
      <c r="E17" s="34" t="s">
        <v>37</v>
      </c>
      <c r="F17" s="34" t="s">
        <v>38</v>
      </c>
      <c r="G17" s="28" t="s">
        <v>41</v>
      </c>
      <c r="H17" s="28" t="s">
        <v>39</v>
      </c>
      <c r="I17" s="28" t="s">
        <v>40</v>
      </c>
    </row>
    <row r="18" spans="1:9" ht="18" customHeight="1" x14ac:dyDescent="0.3">
      <c r="A18" s="33" t="s">
        <v>12</v>
      </c>
      <c r="B18" s="2">
        <v>19750</v>
      </c>
      <c r="C18" s="29">
        <v>17800</v>
      </c>
      <c r="D18" s="35">
        <v>17400</v>
      </c>
      <c r="E18" s="35">
        <v>3000</v>
      </c>
      <c r="F18" s="35">
        <v>2400</v>
      </c>
      <c r="G18" s="29">
        <v>17800</v>
      </c>
      <c r="H18" s="29">
        <v>2400</v>
      </c>
      <c r="I18" s="29">
        <v>1000</v>
      </c>
    </row>
    <row r="19" spans="1:9" ht="18" customHeight="1" x14ac:dyDescent="0.3">
      <c r="A19" s="33" t="s">
        <v>20</v>
      </c>
      <c r="B19" s="2">
        <v>27750</v>
      </c>
      <c r="C19" s="29">
        <v>25000</v>
      </c>
      <c r="D19" s="35">
        <v>24400</v>
      </c>
      <c r="E19" s="35">
        <v>4200</v>
      </c>
      <c r="F19" s="35">
        <v>3400</v>
      </c>
      <c r="G19" s="29">
        <v>25000</v>
      </c>
      <c r="H19" s="29">
        <v>3300</v>
      </c>
      <c r="I19" s="29">
        <v>1900</v>
      </c>
    </row>
    <row r="20" spans="1:9" ht="18" customHeight="1" x14ac:dyDescent="0.3">
      <c r="A20" s="33" t="s">
        <v>13</v>
      </c>
      <c r="B20" s="2">
        <v>19750</v>
      </c>
      <c r="C20" s="29">
        <v>17800</v>
      </c>
      <c r="D20" s="35">
        <v>17400</v>
      </c>
      <c r="E20" s="35">
        <v>3000</v>
      </c>
      <c r="F20" s="35">
        <v>2400</v>
      </c>
      <c r="G20" s="29">
        <v>17800</v>
      </c>
      <c r="H20" s="29">
        <v>2400</v>
      </c>
      <c r="I20" s="29">
        <v>1000</v>
      </c>
    </row>
    <row r="21" spans="1:9" ht="18" customHeight="1" x14ac:dyDescent="0.3">
      <c r="A21" s="33" t="s">
        <v>21</v>
      </c>
      <c r="B21" s="2">
        <v>27750</v>
      </c>
      <c r="C21" s="29">
        <v>25000</v>
      </c>
      <c r="D21" s="35">
        <v>24400</v>
      </c>
      <c r="E21" s="35">
        <v>4200</v>
      </c>
      <c r="F21" s="35">
        <v>3400</v>
      </c>
      <c r="G21" s="29">
        <v>25000</v>
      </c>
      <c r="H21" s="29">
        <v>3300</v>
      </c>
      <c r="I21" s="29">
        <v>1900</v>
      </c>
    </row>
    <row r="22" spans="1:9" ht="18" customHeight="1" x14ac:dyDescent="0.3"/>
    <row r="23" spans="1:9" ht="18" customHeight="1" x14ac:dyDescent="0.3"/>
    <row r="24" spans="1:9" ht="18" customHeight="1" x14ac:dyDescent="0.3"/>
    <row r="25" spans="1:9" ht="18" customHeight="1" x14ac:dyDescent="0.3"/>
    <row r="26" spans="1:9" ht="18" customHeight="1" x14ac:dyDescent="0.3"/>
    <row r="27" spans="1:9" ht="18" customHeight="1" x14ac:dyDescent="0.3"/>
    <row r="28" spans="1:9" ht="18" customHeight="1" x14ac:dyDescent="0.3"/>
    <row r="29" spans="1:9" ht="18" customHeight="1" x14ac:dyDescent="0.3"/>
    <row r="30" spans="1:9" ht="18" customHeight="1" x14ac:dyDescent="0.3"/>
    <row r="31" spans="1:9" ht="18" customHeight="1" x14ac:dyDescent="0.3"/>
    <row r="32" spans="1:9" ht="18" customHeight="1" x14ac:dyDescent="0.3"/>
    <row r="33" spans="1:9" ht="18" customHeight="1" x14ac:dyDescent="0.3">
      <c r="A33" s="70" t="s">
        <v>22</v>
      </c>
      <c r="B33" s="71"/>
      <c r="C33" s="71"/>
      <c r="D33" s="71"/>
      <c r="E33" s="71"/>
      <c r="F33" s="71"/>
      <c r="G33" s="71"/>
      <c r="H33" s="71"/>
      <c r="I33" s="72"/>
    </row>
    <row r="34" spans="1:9" ht="28.8" x14ac:dyDescent="0.3">
      <c r="A34" s="3" t="s">
        <v>0</v>
      </c>
      <c r="B34" s="3" t="s">
        <v>1</v>
      </c>
      <c r="C34" s="3" t="s">
        <v>2</v>
      </c>
      <c r="D34" s="3" t="s">
        <v>3</v>
      </c>
      <c r="E34" s="3" t="s">
        <v>44</v>
      </c>
      <c r="F34" s="3" t="s">
        <v>4</v>
      </c>
      <c r="G34" s="3" t="s">
        <v>5</v>
      </c>
      <c r="H34" s="3" t="s">
        <v>6</v>
      </c>
      <c r="I34" s="3" t="s">
        <v>7</v>
      </c>
    </row>
    <row r="35" spans="1:9" ht="18" customHeight="1" x14ac:dyDescent="0.3">
      <c r="A35" s="4" t="s">
        <v>12</v>
      </c>
      <c r="B35" s="4">
        <v>27750</v>
      </c>
      <c r="C35" s="4">
        <v>25000</v>
      </c>
      <c r="D35" s="4">
        <v>22900</v>
      </c>
      <c r="E35" s="4">
        <f>SUM(F35:I35)</f>
        <v>23800</v>
      </c>
      <c r="F35" s="4">
        <v>8300</v>
      </c>
      <c r="G35" s="4">
        <v>5900</v>
      </c>
      <c r="H35" s="4">
        <v>5900</v>
      </c>
      <c r="I35" s="4">
        <v>3700</v>
      </c>
    </row>
    <row r="36" spans="1:9" ht="18" customHeight="1" x14ac:dyDescent="0.3">
      <c r="A36" s="4" t="s">
        <v>20</v>
      </c>
      <c r="B36" s="4">
        <v>41000</v>
      </c>
      <c r="C36" s="4">
        <v>37000</v>
      </c>
      <c r="D36" s="4">
        <v>33900</v>
      </c>
      <c r="E36" s="4">
        <f t="shared" ref="E36:E38" si="1">SUM(F36:I36)</f>
        <v>35200</v>
      </c>
      <c r="F36" s="4">
        <v>12300</v>
      </c>
      <c r="G36" s="4">
        <v>8700</v>
      </c>
      <c r="H36" s="4">
        <v>8700</v>
      </c>
      <c r="I36" s="4">
        <v>5500</v>
      </c>
    </row>
    <row r="37" spans="1:9" ht="18" customHeight="1" x14ac:dyDescent="0.3">
      <c r="A37" s="4" t="s">
        <v>13</v>
      </c>
      <c r="B37" s="4">
        <v>27750</v>
      </c>
      <c r="C37" s="4">
        <v>25000</v>
      </c>
      <c r="D37" s="4">
        <v>22900</v>
      </c>
      <c r="E37" s="4">
        <f t="shared" si="1"/>
        <v>23800</v>
      </c>
      <c r="F37" s="4">
        <v>8300</v>
      </c>
      <c r="G37" s="4">
        <v>5900</v>
      </c>
      <c r="H37" s="4">
        <v>5900</v>
      </c>
      <c r="I37" s="4">
        <v>3700</v>
      </c>
    </row>
    <row r="38" spans="1:9" ht="18" customHeight="1" x14ac:dyDescent="0.3">
      <c r="A38" s="4" t="s">
        <v>21</v>
      </c>
      <c r="B38" s="4">
        <v>41000</v>
      </c>
      <c r="C38" s="4">
        <v>37000</v>
      </c>
      <c r="D38" s="4">
        <v>33900</v>
      </c>
      <c r="E38" s="4">
        <f t="shared" si="1"/>
        <v>35200</v>
      </c>
      <c r="F38" s="4">
        <v>12300</v>
      </c>
      <c r="G38" s="4">
        <v>8700</v>
      </c>
      <c r="H38" s="4">
        <v>8700</v>
      </c>
      <c r="I38" s="4">
        <v>5500</v>
      </c>
    </row>
    <row r="39" spans="1:9" ht="18" customHeight="1" x14ac:dyDescent="0.3"/>
    <row r="40" spans="1:9" ht="18" customHeight="1" x14ac:dyDescent="0.3"/>
    <row r="41" spans="1:9" ht="18" customHeight="1" x14ac:dyDescent="0.3"/>
    <row r="42" spans="1:9" ht="18" customHeight="1" x14ac:dyDescent="0.3"/>
    <row r="43" spans="1:9" ht="18" customHeight="1" x14ac:dyDescent="0.3"/>
    <row r="44" spans="1:9" ht="18" customHeight="1" x14ac:dyDescent="0.3">
      <c r="A44" s="80" t="s">
        <v>22</v>
      </c>
      <c r="B44" s="81"/>
      <c r="C44" s="82"/>
      <c r="D44" s="82"/>
      <c r="E44" s="82"/>
      <c r="F44" s="82"/>
      <c r="G44" s="82"/>
      <c r="H44" s="82"/>
      <c r="I44" s="82"/>
    </row>
    <row r="45" spans="1:9" ht="55.2" x14ac:dyDescent="0.3">
      <c r="A45" s="30" t="s">
        <v>0</v>
      </c>
      <c r="B45" s="30" t="s">
        <v>1</v>
      </c>
      <c r="C45" s="30" t="s">
        <v>8</v>
      </c>
      <c r="D45" s="25" t="s">
        <v>42</v>
      </c>
      <c r="E45" s="25" t="s">
        <v>37</v>
      </c>
      <c r="F45" s="25" t="s">
        <v>38</v>
      </c>
      <c r="G45" s="30" t="s">
        <v>41</v>
      </c>
      <c r="H45" s="30" t="s">
        <v>39</v>
      </c>
      <c r="I45" s="30" t="s">
        <v>40</v>
      </c>
    </row>
    <row r="46" spans="1:9" ht="18" customHeight="1" x14ac:dyDescent="0.3">
      <c r="A46" s="31" t="s">
        <v>12</v>
      </c>
      <c r="B46" s="4">
        <v>27750</v>
      </c>
      <c r="C46" s="32">
        <v>25000</v>
      </c>
      <c r="D46" s="38">
        <v>24400</v>
      </c>
      <c r="E46" s="38">
        <v>4200</v>
      </c>
      <c r="F46" s="38">
        <v>3400</v>
      </c>
      <c r="G46" s="32">
        <v>25000</v>
      </c>
      <c r="H46" s="32">
        <v>3300</v>
      </c>
      <c r="I46" s="32">
        <v>1900</v>
      </c>
    </row>
    <row r="47" spans="1:9" ht="18" customHeight="1" x14ac:dyDescent="0.3">
      <c r="A47" s="31" t="s">
        <v>20</v>
      </c>
      <c r="B47" s="4">
        <v>41000</v>
      </c>
      <c r="C47" s="32">
        <v>37000</v>
      </c>
      <c r="D47" s="38">
        <v>36100</v>
      </c>
      <c r="E47" s="38">
        <v>6300</v>
      </c>
      <c r="F47" s="38">
        <v>4600</v>
      </c>
      <c r="G47" s="32">
        <v>37000</v>
      </c>
      <c r="H47" s="32">
        <v>4900</v>
      </c>
      <c r="I47" s="32">
        <v>2700</v>
      </c>
    </row>
    <row r="48" spans="1:9" ht="18" customHeight="1" x14ac:dyDescent="0.3">
      <c r="A48" s="31" t="s">
        <v>13</v>
      </c>
      <c r="B48" s="4">
        <v>27750</v>
      </c>
      <c r="C48" s="32">
        <v>25000</v>
      </c>
      <c r="D48" s="38">
        <v>24400</v>
      </c>
      <c r="E48" s="38">
        <v>4200</v>
      </c>
      <c r="F48" s="38">
        <v>3400</v>
      </c>
      <c r="G48" s="32">
        <v>25000</v>
      </c>
      <c r="H48" s="32">
        <v>3300</v>
      </c>
      <c r="I48" s="32">
        <v>1900</v>
      </c>
    </row>
    <row r="49" spans="1:9" ht="18" customHeight="1" x14ac:dyDescent="0.3">
      <c r="A49" s="31" t="s">
        <v>21</v>
      </c>
      <c r="B49" s="4">
        <v>41000</v>
      </c>
      <c r="C49" s="32">
        <v>37000</v>
      </c>
      <c r="D49" s="38">
        <v>36100</v>
      </c>
      <c r="E49" s="38">
        <v>6300</v>
      </c>
      <c r="F49" s="38">
        <v>4600</v>
      </c>
      <c r="G49" s="32">
        <v>37000</v>
      </c>
      <c r="H49" s="32">
        <v>4900</v>
      </c>
      <c r="I49" s="32">
        <v>2700</v>
      </c>
    </row>
    <row r="50" spans="1:9" ht="18" customHeight="1" x14ac:dyDescent="0.3"/>
    <row r="51" spans="1:9" ht="18" customHeight="1" x14ac:dyDescent="0.3"/>
    <row r="52" spans="1:9" ht="18" customHeight="1" x14ac:dyDescent="0.3"/>
    <row r="53" spans="1:9" ht="18" customHeight="1" x14ac:dyDescent="0.3"/>
    <row r="54" spans="1:9" ht="18" customHeight="1" x14ac:dyDescent="0.3"/>
    <row r="55" spans="1:9" ht="18" customHeight="1" x14ac:dyDescent="0.3"/>
    <row r="56" spans="1:9" ht="18" customHeight="1" x14ac:dyDescent="0.3"/>
    <row r="57" spans="1:9" ht="18" customHeight="1" x14ac:dyDescent="0.3"/>
    <row r="58" spans="1:9" ht="18" customHeight="1" x14ac:dyDescent="0.3"/>
    <row r="59" spans="1:9" ht="18" customHeight="1" x14ac:dyDescent="0.3"/>
    <row r="60" spans="1:9" ht="18" customHeight="1" x14ac:dyDescent="0.3"/>
    <row r="61" spans="1:9" ht="18" customHeight="1" x14ac:dyDescent="0.3"/>
    <row r="62" spans="1:9" ht="18" customHeight="1" x14ac:dyDescent="0.3"/>
    <row r="63" spans="1:9" ht="18" customHeight="1" x14ac:dyDescent="0.3"/>
    <row r="64" spans="1:9" ht="18" customHeight="1" x14ac:dyDescent="0.3"/>
    <row r="65" ht="18" customHeight="1" x14ac:dyDescent="0.3"/>
  </sheetData>
  <mergeCells count="4">
    <mergeCell ref="A5:I5"/>
    <mergeCell ref="A16:I16"/>
    <mergeCell ref="A33:I33"/>
    <mergeCell ref="A44:I44"/>
  </mergeCells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07"/>
  <sheetViews>
    <sheetView topLeftCell="A40" zoomScale="118" workbookViewId="0">
      <selection activeCell="K8" sqref="K8"/>
    </sheetView>
  </sheetViews>
  <sheetFormatPr defaultColWidth="8.77734375" defaultRowHeight="14.4" x14ac:dyDescent="0.3"/>
  <cols>
    <col min="1" max="3" width="13.33203125" customWidth="1"/>
    <col min="4" max="4" width="15.109375" customWidth="1"/>
    <col min="5" max="5" width="12.6640625" customWidth="1"/>
    <col min="6" max="9" width="13.33203125" customWidth="1"/>
  </cols>
  <sheetData>
    <row r="4" spans="1:11" ht="18" customHeight="1" x14ac:dyDescent="0.3">
      <c r="A4" s="73" t="s">
        <v>23</v>
      </c>
      <c r="B4" s="74"/>
      <c r="C4" s="74"/>
      <c r="D4" s="74"/>
      <c r="E4" s="74"/>
      <c r="F4" s="74"/>
      <c r="G4" s="74"/>
      <c r="H4" s="74"/>
      <c r="I4" s="74"/>
    </row>
    <row r="5" spans="1:11" ht="28.8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44</v>
      </c>
      <c r="F5" s="1" t="s">
        <v>4</v>
      </c>
      <c r="G5" s="1" t="s">
        <v>5</v>
      </c>
      <c r="H5" s="1" t="s">
        <v>6</v>
      </c>
      <c r="I5" s="1" t="s">
        <v>7</v>
      </c>
    </row>
    <row r="6" spans="1:11" ht="18" customHeight="1" x14ac:dyDescent="0.3">
      <c r="A6" s="2" t="s">
        <v>20</v>
      </c>
      <c r="B6" s="2">
        <v>48500</v>
      </c>
      <c r="C6" s="2">
        <v>43000</v>
      </c>
      <c r="D6" s="2">
        <v>39400</v>
      </c>
      <c r="E6" s="2">
        <v>40900</v>
      </c>
      <c r="F6" s="2">
        <v>14300</v>
      </c>
      <c r="G6" s="2">
        <v>10200</v>
      </c>
      <c r="H6" s="2">
        <v>10200</v>
      </c>
      <c r="I6" s="2">
        <v>6200</v>
      </c>
    </row>
    <row r="7" spans="1:11" ht="18" customHeight="1" x14ac:dyDescent="0.3">
      <c r="A7" s="2" t="s">
        <v>21</v>
      </c>
      <c r="B7" s="2">
        <v>48500</v>
      </c>
      <c r="C7" s="2">
        <v>43000</v>
      </c>
      <c r="D7" s="2">
        <v>39400</v>
      </c>
      <c r="E7" s="2">
        <v>40900</v>
      </c>
      <c r="F7" s="2">
        <v>14300</v>
      </c>
      <c r="G7" s="2">
        <v>10200</v>
      </c>
      <c r="H7" s="2">
        <v>10200</v>
      </c>
      <c r="I7" s="2">
        <v>6200</v>
      </c>
      <c r="K7" s="42"/>
    </row>
    <row r="8" spans="1:11" ht="18" customHeight="1" x14ac:dyDescent="0.3">
      <c r="A8" s="2" t="s">
        <v>14</v>
      </c>
      <c r="B8" s="2">
        <v>68500</v>
      </c>
      <c r="C8" s="2">
        <v>61000</v>
      </c>
      <c r="D8" s="2">
        <v>55900</v>
      </c>
      <c r="E8" s="2">
        <v>57900</v>
      </c>
      <c r="F8" s="2">
        <v>20400</v>
      </c>
      <c r="G8" s="2">
        <v>14400</v>
      </c>
      <c r="H8" s="2">
        <v>14400</v>
      </c>
      <c r="I8" s="2">
        <v>8700</v>
      </c>
      <c r="K8" s="42"/>
    </row>
    <row r="9" spans="1:11" ht="18" customHeight="1" x14ac:dyDescent="0.3">
      <c r="A9" s="2" t="s">
        <v>15</v>
      </c>
      <c r="B9" s="2">
        <v>68500</v>
      </c>
      <c r="C9" s="2">
        <v>61000</v>
      </c>
      <c r="D9" s="2">
        <v>55900</v>
      </c>
      <c r="E9" s="2">
        <v>57900</v>
      </c>
      <c r="F9" s="2">
        <v>20400</v>
      </c>
      <c r="G9" s="2">
        <v>14400</v>
      </c>
      <c r="H9" s="2">
        <v>14400</v>
      </c>
      <c r="I9" s="2">
        <v>8700</v>
      </c>
      <c r="K9" s="42"/>
    </row>
    <row r="10" spans="1:11" ht="18" customHeight="1" x14ac:dyDescent="0.3">
      <c r="A10" s="61" t="s">
        <v>62</v>
      </c>
      <c r="B10" s="64">
        <v>19800</v>
      </c>
      <c r="C10" s="64">
        <f>1400*12+1000</f>
        <v>17800</v>
      </c>
      <c r="D10" s="64">
        <f>C10-1400</f>
        <v>16400</v>
      </c>
      <c r="E10" s="64">
        <v>16900</v>
      </c>
      <c r="F10" s="63">
        <v>5900</v>
      </c>
      <c r="G10" s="63">
        <v>4000</v>
      </c>
      <c r="H10" s="63">
        <v>4000</v>
      </c>
      <c r="I10" s="63">
        <v>3000</v>
      </c>
      <c r="K10" s="42"/>
    </row>
    <row r="11" spans="1:11" ht="18" customHeight="1" x14ac:dyDescent="0.3"/>
    <row r="12" spans="1:11" ht="18" customHeight="1" x14ac:dyDescent="0.3"/>
    <row r="13" spans="1:11" ht="18" customHeight="1" x14ac:dyDescent="0.3"/>
    <row r="14" spans="1:11" ht="18" customHeight="1" x14ac:dyDescent="0.3"/>
    <row r="15" spans="1:11" ht="18" customHeight="1" x14ac:dyDescent="0.3">
      <c r="A15" s="77" t="s">
        <v>23</v>
      </c>
      <c r="B15" s="78"/>
      <c r="C15" s="79"/>
      <c r="D15" s="79"/>
      <c r="E15" s="79"/>
      <c r="F15" s="79"/>
      <c r="G15" s="79"/>
      <c r="H15" s="79"/>
      <c r="I15" s="79"/>
    </row>
    <row r="16" spans="1:11" ht="55.2" x14ac:dyDescent="0.3">
      <c r="A16" s="28" t="s">
        <v>0</v>
      </c>
      <c r="B16" s="28" t="s">
        <v>1</v>
      </c>
      <c r="C16" s="28" t="s">
        <v>8</v>
      </c>
      <c r="D16" s="34" t="s">
        <v>42</v>
      </c>
      <c r="E16" s="34" t="s">
        <v>37</v>
      </c>
      <c r="F16" s="34" t="s">
        <v>38</v>
      </c>
      <c r="G16" s="28" t="s">
        <v>41</v>
      </c>
      <c r="H16" s="28" t="s">
        <v>39</v>
      </c>
      <c r="I16" s="28" t="s">
        <v>40</v>
      </c>
    </row>
    <row r="17" spans="1:9" ht="18" customHeight="1" x14ac:dyDescent="0.3">
      <c r="A17" s="33" t="s">
        <v>20</v>
      </c>
      <c r="B17" s="2">
        <v>48500</v>
      </c>
      <c r="C17" s="29">
        <v>43000</v>
      </c>
      <c r="D17" s="35">
        <v>41900</v>
      </c>
      <c r="E17" s="35">
        <v>7300</v>
      </c>
      <c r="F17" s="35">
        <v>5400</v>
      </c>
      <c r="G17" s="29">
        <v>43000</v>
      </c>
      <c r="H17" s="29">
        <v>5700</v>
      </c>
      <c r="I17" s="29">
        <v>3100</v>
      </c>
    </row>
    <row r="18" spans="1:9" ht="18" customHeight="1" x14ac:dyDescent="0.3">
      <c r="A18" s="33" t="s">
        <v>21</v>
      </c>
      <c r="B18" s="2">
        <v>48500</v>
      </c>
      <c r="C18" s="29">
        <v>43000</v>
      </c>
      <c r="D18" s="35">
        <v>41900</v>
      </c>
      <c r="E18" s="35">
        <v>7300</v>
      </c>
      <c r="F18" s="35">
        <v>5400</v>
      </c>
      <c r="G18" s="29">
        <v>43000</v>
      </c>
      <c r="H18" s="29">
        <v>5700</v>
      </c>
      <c r="I18" s="29">
        <v>3100</v>
      </c>
    </row>
    <row r="19" spans="1:9" ht="18" customHeight="1" x14ac:dyDescent="0.3">
      <c r="A19" s="33" t="s">
        <v>14</v>
      </c>
      <c r="B19" s="2">
        <v>68500</v>
      </c>
      <c r="C19" s="29">
        <v>61000</v>
      </c>
      <c r="D19" s="35">
        <v>59500</v>
      </c>
      <c r="E19" s="35">
        <v>10300</v>
      </c>
      <c r="F19" s="35">
        <v>8000</v>
      </c>
      <c r="G19" s="29">
        <v>61000</v>
      </c>
      <c r="H19" s="29">
        <v>8100</v>
      </c>
      <c r="I19" s="29">
        <v>4300</v>
      </c>
    </row>
    <row r="20" spans="1:9" ht="18" customHeight="1" x14ac:dyDescent="0.3">
      <c r="A20" s="33" t="s">
        <v>15</v>
      </c>
      <c r="B20" s="2">
        <v>68500</v>
      </c>
      <c r="C20" s="29">
        <v>61000</v>
      </c>
      <c r="D20" s="35">
        <v>59500</v>
      </c>
      <c r="E20" s="35">
        <v>10300</v>
      </c>
      <c r="F20" s="35">
        <v>8000</v>
      </c>
      <c r="G20" s="29">
        <v>61000</v>
      </c>
      <c r="H20" s="29">
        <v>8100</v>
      </c>
      <c r="I20" s="29">
        <v>4300</v>
      </c>
    </row>
    <row r="21" spans="1:9" ht="18" customHeight="1" x14ac:dyDescent="0.3">
      <c r="A21" s="61" t="s">
        <v>62</v>
      </c>
      <c r="B21" s="64">
        <v>19800</v>
      </c>
      <c r="C21" s="64">
        <f>1400*12+1000</f>
        <v>17800</v>
      </c>
      <c r="D21" s="65">
        <v>17400</v>
      </c>
      <c r="E21" s="65">
        <v>3000</v>
      </c>
      <c r="F21" s="65">
        <v>2400</v>
      </c>
      <c r="G21" s="64">
        <f>1400*12+1000</f>
        <v>17800</v>
      </c>
      <c r="H21" s="64">
        <v>2300</v>
      </c>
      <c r="I21" s="64">
        <v>1700</v>
      </c>
    </row>
    <row r="22" spans="1:9" ht="18" customHeight="1" x14ac:dyDescent="0.3"/>
    <row r="23" spans="1:9" ht="18" customHeight="1" x14ac:dyDescent="0.3"/>
    <row r="24" spans="1:9" ht="18" customHeight="1" x14ac:dyDescent="0.3"/>
    <row r="25" spans="1:9" ht="18" customHeight="1" x14ac:dyDescent="0.3"/>
    <row r="26" spans="1:9" ht="18" customHeight="1" x14ac:dyDescent="0.3"/>
    <row r="27" spans="1:9" ht="18" customHeight="1" x14ac:dyDescent="0.3"/>
    <row r="28" spans="1:9" ht="18" customHeight="1" x14ac:dyDescent="0.3"/>
    <row r="29" spans="1:9" ht="18" customHeight="1" x14ac:dyDescent="0.3"/>
    <row r="30" spans="1:9" ht="18" customHeight="1" x14ac:dyDescent="0.3">
      <c r="A30" s="70" t="s">
        <v>24</v>
      </c>
      <c r="B30" s="71"/>
      <c r="C30" s="71"/>
      <c r="D30" s="71"/>
      <c r="E30" s="71"/>
      <c r="F30" s="71"/>
      <c r="G30" s="71"/>
      <c r="H30" s="71"/>
      <c r="I30" s="72"/>
    </row>
    <row r="31" spans="1:9" ht="28.8" x14ac:dyDescent="0.3">
      <c r="A31" s="3" t="s">
        <v>0</v>
      </c>
      <c r="B31" s="3" t="s">
        <v>1</v>
      </c>
      <c r="C31" s="3" t="s">
        <v>2</v>
      </c>
      <c r="D31" s="3" t="s">
        <v>3</v>
      </c>
      <c r="E31" s="3" t="s">
        <v>44</v>
      </c>
      <c r="F31" s="3" t="s">
        <v>4</v>
      </c>
      <c r="G31" s="3" t="s">
        <v>5</v>
      </c>
      <c r="H31" s="3" t="s">
        <v>6</v>
      </c>
      <c r="I31" s="3" t="s">
        <v>7</v>
      </c>
    </row>
    <row r="32" spans="1:9" ht="18" customHeight="1" x14ac:dyDescent="0.3">
      <c r="A32" s="4" t="s">
        <v>20</v>
      </c>
      <c r="B32" s="4">
        <v>61000</v>
      </c>
      <c r="C32" s="4">
        <v>55000</v>
      </c>
      <c r="D32" s="4">
        <v>50400</v>
      </c>
      <c r="E32" s="4">
        <v>52300</v>
      </c>
      <c r="F32" s="4">
        <v>18300</v>
      </c>
      <c r="G32" s="4">
        <v>13100</v>
      </c>
      <c r="H32" s="4">
        <v>13100</v>
      </c>
      <c r="I32" s="4">
        <v>7800</v>
      </c>
    </row>
    <row r="33" spans="1:12" ht="18" customHeight="1" x14ac:dyDescent="0.3">
      <c r="A33" s="4" t="s">
        <v>21</v>
      </c>
      <c r="B33" s="4">
        <v>61000</v>
      </c>
      <c r="C33" s="4">
        <v>55000</v>
      </c>
      <c r="D33" s="4">
        <v>50400</v>
      </c>
      <c r="E33" s="4">
        <v>52300</v>
      </c>
      <c r="F33" s="4">
        <v>18300</v>
      </c>
      <c r="G33" s="4">
        <v>13100</v>
      </c>
      <c r="H33" s="4">
        <v>13100</v>
      </c>
      <c r="I33" s="4">
        <v>7800</v>
      </c>
      <c r="K33" s="42"/>
      <c r="L33" s="42"/>
    </row>
    <row r="34" spans="1:12" ht="18" customHeight="1" x14ac:dyDescent="0.3">
      <c r="A34" s="4" t="s">
        <v>14</v>
      </c>
      <c r="B34" s="4">
        <v>81000</v>
      </c>
      <c r="C34" s="4">
        <v>73000</v>
      </c>
      <c r="D34" s="4">
        <v>66900</v>
      </c>
      <c r="E34" s="4">
        <v>69400</v>
      </c>
      <c r="F34" s="4">
        <v>24400</v>
      </c>
      <c r="G34" s="4">
        <v>17300</v>
      </c>
      <c r="H34" s="4">
        <v>17300</v>
      </c>
      <c r="I34" s="4">
        <v>10400</v>
      </c>
      <c r="K34" s="42"/>
      <c r="L34" s="42"/>
    </row>
    <row r="35" spans="1:12" ht="18" customHeight="1" x14ac:dyDescent="0.3">
      <c r="A35" s="4" t="s">
        <v>15</v>
      </c>
      <c r="B35" s="4">
        <v>81000</v>
      </c>
      <c r="C35" s="4">
        <v>73000</v>
      </c>
      <c r="D35" s="4">
        <v>66900</v>
      </c>
      <c r="E35" s="4">
        <v>69400</v>
      </c>
      <c r="F35" s="4">
        <v>24400</v>
      </c>
      <c r="G35" s="4">
        <v>17300</v>
      </c>
      <c r="H35" s="4">
        <v>17300</v>
      </c>
      <c r="I35" s="4">
        <v>10400</v>
      </c>
      <c r="K35" s="42"/>
      <c r="L35" s="42"/>
    </row>
    <row r="36" spans="1:12" ht="18" customHeight="1" x14ac:dyDescent="0.3">
      <c r="A36" s="66" t="s">
        <v>62</v>
      </c>
      <c r="B36" s="68">
        <v>25100</v>
      </c>
      <c r="C36" s="68">
        <v>22600</v>
      </c>
      <c r="D36" s="68">
        <v>20800</v>
      </c>
      <c r="E36" s="68">
        <v>21500</v>
      </c>
      <c r="F36" s="67">
        <v>7500</v>
      </c>
      <c r="G36" s="67">
        <v>5500</v>
      </c>
      <c r="H36" s="67">
        <v>5500</v>
      </c>
      <c r="I36" s="67">
        <v>3000</v>
      </c>
      <c r="K36" s="42"/>
      <c r="L36" s="42"/>
    </row>
    <row r="37" spans="1:12" ht="18" customHeight="1" x14ac:dyDescent="0.3"/>
    <row r="38" spans="1:12" ht="18" customHeight="1" x14ac:dyDescent="0.3"/>
    <row r="39" spans="1:12" ht="18" customHeight="1" x14ac:dyDescent="0.3"/>
    <row r="40" spans="1:12" ht="18" customHeight="1" x14ac:dyDescent="0.3">
      <c r="A40" s="80" t="s">
        <v>24</v>
      </c>
      <c r="B40" s="81"/>
      <c r="C40" s="82"/>
      <c r="D40" s="82"/>
      <c r="E40" s="82"/>
      <c r="F40" s="82"/>
      <c r="G40" s="82"/>
      <c r="H40" s="82"/>
      <c r="I40" s="82"/>
    </row>
    <row r="41" spans="1:12" ht="55.2" x14ac:dyDescent="0.3">
      <c r="A41" s="30" t="s">
        <v>0</v>
      </c>
      <c r="B41" s="30" t="s">
        <v>1</v>
      </c>
      <c r="C41" s="30" t="s">
        <v>8</v>
      </c>
      <c r="D41" s="25" t="s">
        <v>42</v>
      </c>
      <c r="E41" s="25" t="s">
        <v>37</v>
      </c>
      <c r="F41" s="25" t="s">
        <v>38</v>
      </c>
      <c r="G41" s="30" t="s">
        <v>41</v>
      </c>
      <c r="H41" s="30" t="s">
        <v>39</v>
      </c>
      <c r="I41" s="30" t="s">
        <v>40</v>
      </c>
    </row>
    <row r="42" spans="1:12" ht="18" customHeight="1" x14ac:dyDescent="0.3">
      <c r="A42" s="31" t="s">
        <v>20</v>
      </c>
      <c r="B42" s="4">
        <v>61000</v>
      </c>
      <c r="C42" s="32">
        <v>55000</v>
      </c>
      <c r="D42" s="38">
        <v>53600</v>
      </c>
      <c r="E42" s="38">
        <v>9300</v>
      </c>
      <c r="F42" s="38">
        <v>7100</v>
      </c>
      <c r="G42" s="32">
        <v>55000</v>
      </c>
      <c r="H42" s="32">
        <v>7300</v>
      </c>
      <c r="I42" s="32">
        <v>3900</v>
      </c>
    </row>
    <row r="43" spans="1:12" ht="18" customHeight="1" x14ac:dyDescent="0.3">
      <c r="A43" s="31" t="s">
        <v>21</v>
      </c>
      <c r="B43" s="4">
        <v>61000</v>
      </c>
      <c r="C43" s="32">
        <v>55000</v>
      </c>
      <c r="D43" s="38">
        <v>53600</v>
      </c>
      <c r="E43" s="38">
        <v>9300</v>
      </c>
      <c r="F43" s="38">
        <v>7100</v>
      </c>
      <c r="G43" s="32">
        <v>55000</v>
      </c>
      <c r="H43" s="32">
        <v>7300</v>
      </c>
      <c r="I43" s="32">
        <v>3900</v>
      </c>
    </row>
    <row r="44" spans="1:12" ht="18" customHeight="1" x14ac:dyDescent="0.3">
      <c r="A44" s="31" t="s">
        <v>14</v>
      </c>
      <c r="B44" s="4">
        <v>81000</v>
      </c>
      <c r="C44" s="32">
        <v>73000</v>
      </c>
      <c r="D44" s="38">
        <v>71100</v>
      </c>
      <c r="E44" s="38">
        <v>12400</v>
      </c>
      <c r="F44" s="38">
        <v>9100</v>
      </c>
      <c r="G44" s="32">
        <v>73000</v>
      </c>
      <c r="H44" s="32">
        <v>9700</v>
      </c>
      <c r="I44" s="32">
        <v>5100</v>
      </c>
    </row>
    <row r="45" spans="1:12" ht="18" customHeight="1" x14ac:dyDescent="0.3">
      <c r="A45" s="31" t="s">
        <v>15</v>
      </c>
      <c r="B45" s="4">
        <v>81000</v>
      </c>
      <c r="C45" s="32">
        <v>73000</v>
      </c>
      <c r="D45" s="38">
        <v>71100</v>
      </c>
      <c r="E45" s="38">
        <v>12400</v>
      </c>
      <c r="F45" s="38">
        <v>9100</v>
      </c>
      <c r="G45" s="32">
        <v>73000</v>
      </c>
      <c r="H45" s="32">
        <v>9700</v>
      </c>
      <c r="I45" s="32">
        <v>5100</v>
      </c>
    </row>
    <row r="46" spans="1:12" ht="18" customHeight="1" x14ac:dyDescent="0.3">
      <c r="A46" s="66" t="s">
        <v>62</v>
      </c>
      <c r="B46" s="68">
        <v>25100</v>
      </c>
      <c r="C46" s="68">
        <v>22600</v>
      </c>
      <c r="D46" s="68">
        <v>22000</v>
      </c>
      <c r="E46" s="69">
        <v>3900</v>
      </c>
      <c r="F46" s="69">
        <v>2500</v>
      </c>
      <c r="G46" s="68">
        <v>22600</v>
      </c>
      <c r="H46" s="69">
        <v>3000</v>
      </c>
      <c r="I46" s="69">
        <v>1600</v>
      </c>
    </row>
    <row r="47" spans="1:12" ht="18" customHeight="1" x14ac:dyDescent="0.3"/>
    <row r="48" spans="1:12" ht="18" customHeight="1" x14ac:dyDescent="0.3"/>
    <row r="49" spans="1:9" ht="18" customHeight="1" x14ac:dyDescent="0.3"/>
    <row r="50" spans="1:9" ht="18" customHeight="1" x14ac:dyDescent="0.3"/>
    <row r="51" spans="1:9" ht="18" customHeight="1" x14ac:dyDescent="0.3"/>
    <row r="52" spans="1:9" ht="18" customHeight="1" x14ac:dyDescent="0.3"/>
    <row r="53" spans="1:9" ht="18" customHeight="1" x14ac:dyDescent="0.3"/>
    <row r="54" spans="1:9" ht="18" customHeight="1" x14ac:dyDescent="0.3"/>
    <row r="55" spans="1:9" ht="18" customHeight="1" x14ac:dyDescent="0.3"/>
    <row r="56" spans="1:9" ht="18" customHeight="1" x14ac:dyDescent="0.3"/>
    <row r="57" spans="1:9" ht="18" customHeight="1" x14ac:dyDescent="0.3"/>
    <row r="58" spans="1:9" ht="18" customHeight="1" x14ac:dyDescent="0.3"/>
    <row r="59" spans="1:9" ht="18" customHeight="1" x14ac:dyDescent="0.3">
      <c r="A59" s="83" t="s">
        <v>60</v>
      </c>
      <c r="B59" s="84"/>
      <c r="C59" s="84"/>
      <c r="D59" s="84"/>
      <c r="E59" s="84"/>
      <c r="F59" s="84"/>
      <c r="G59" s="84"/>
      <c r="H59" s="84"/>
      <c r="I59" s="85"/>
    </row>
    <row r="60" spans="1:9" ht="27.6" x14ac:dyDescent="0.3">
      <c r="A60" s="43" t="s">
        <v>49</v>
      </c>
      <c r="B60" s="43" t="s">
        <v>1</v>
      </c>
      <c r="C60" s="43" t="s">
        <v>2</v>
      </c>
      <c r="D60" s="43" t="s">
        <v>3</v>
      </c>
      <c r="E60" s="43" t="s">
        <v>44</v>
      </c>
      <c r="F60" s="43" t="s">
        <v>4</v>
      </c>
      <c r="G60" s="43" t="s">
        <v>5</v>
      </c>
      <c r="H60" s="43" t="s">
        <v>6</v>
      </c>
      <c r="I60" s="43" t="s">
        <v>7</v>
      </c>
    </row>
    <row r="61" spans="1:9" ht="18" customHeight="1" x14ac:dyDescent="0.3">
      <c r="A61" s="39" t="s">
        <v>45</v>
      </c>
      <c r="B61" s="39">
        <v>27100</v>
      </c>
      <c r="C61" s="39">
        <v>22000</v>
      </c>
      <c r="D61" s="39">
        <v>20250</v>
      </c>
      <c r="E61" s="39">
        <v>21000</v>
      </c>
      <c r="F61" s="39">
        <v>7000</v>
      </c>
      <c r="G61" s="39">
        <v>5000</v>
      </c>
      <c r="H61" s="39">
        <v>5000</v>
      </c>
      <c r="I61" s="39">
        <v>4000</v>
      </c>
    </row>
    <row r="62" spans="1:9" ht="18" customHeight="1" x14ac:dyDescent="0.3">
      <c r="A62" s="39" t="s">
        <v>47</v>
      </c>
      <c r="B62" s="39">
        <v>27100</v>
      </c>
      <c r="C62" s="39">
        <v>22000</v>
      </c>
      <c r="D62" s="39">
        <v>20250</v>
      </c>
      <c r="E62" s="39">
        <v>21000</v>
      </c>
      <c r="F62" s="39">
        <v>7000</v>
      </c>
      <c r="G62" s="39">
        <v>5000</v>
      </c>
      <c r="H62" s="39">
        <v>5000</v>
      </c>
      <c r="I62" s="39">
        <v>4000</v>
      </c>
    </row>
    <row r="63" spans="1:9" ht="18" customHeight="1" x14ac:dyDescent="0.3">
      <c r="A63" s="39" t="s">
        <v>46</v>
      </c>
      <c r="B63" s="39">
        <v>30400</v>
      </c>
      <c r="C63" s="39">
        <v>27500</v>
      </c>
      <c r="D63" s="39">
        <v>25300</v>
      </c>
      <c r="E63" s="39">
        <v>26000</v>
      </c>
      <c r="F63" s="39">
        <v>9000</v>
      </c>
      <c r="G63" s="39">
        <v>6500</v>
      </c>
      <c r="H63" s="39">
        <v>6500</v>
      </c>
      <c r="I63" s="39">
        <v>4000</v>
      </c>
    </row>
    <row r="64" spans="1:9" ht="18" customHeight="1" x14ac:dyDescent="0.3">
      <c r="A64" s="39" t="s">
        <v>48</v>
      </c>
      <c r="B64" s="39">
        <v>47700</v>
      </c>
      <c r="C64" s="39">
        <v>40000</v>
      </c>
      <c r="D64" s="39">
        <v>36750</v>
      </c>
      <c r="E64" s="39">
        <v>38000</v>
      </c>
      <c r="F64" s="39">
        <v>14000</v>
      </c>
      <c r="G64" s="39">
        <v>10000</v>
      </c>
      <c r="H64" s="39">
        <v>10000</v>
      </c>
      <c r="I64" s="39">
        <v>4000</v>
      </c>
    </row>
    <row r="65" spans="1:9" ht="18" customHeight="1" x14ac:dyDescent="0.3">
      <c r="A65" s="39" t="s">
        <v>54</v>
      </c>
      <c r="B65" s="39">
        <v>50400</v>
      </c>
      <c r="C65" s="39">
        <v>44200</v>
      </c>
      <c r="D65" s="39">
        <v>40600</v>
      </c>
      <c r="E65" s="39">
        <v>42000</v>
      </c>
      <c r="F65" s="39">
        <v>15000</v>
      </c>
      <c r="G65" s="39">
        <v>11000</v>
      </c>
      <c r="H65" s="39">
        <v>11000</v>
      </c>
      <c r="I65" s="39">
        <v>5000</v>
      </c>
    </row>
    <row r="66" spans="1:9" ht="18" customHeight="1" x14ac:dyDescent="0.3">
      <c r="A66" s="39" t="s">
        <v>53</v>
      </c>
      <c r="B66" s="39">
        <v>50400</v>
      </c>
      <c r="C66" s="39">
        <v>44200</v>
      </c>
      <c r="D66" s="39">
        <v>40600</v>
      </c>
      <c r="E66" s="39">
        <v>42000</v>
      </c>
      <c r="F66" s="39">
        <v>15000</v>
      </c>
      <c r="G66" s="39">
        <v>11000</v>
      </c>
      <c r="H66" s="39">
        <v>11000</v>
      </c>
      <c r="I66" s="39">
        <v>5000</v>
      </c>
    </row>
    <row r="67" spans="1:9" ht="18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</row>
    <row r="68" spans="1:9" ht="18" customHeight="1" x14ac:dyDescent="0.3">
      <c r="A68" s="27"/>
      <c r="B68" s="27"/>
      <c r="C68" s="27"/>
      <c r="D68" s="27"/>
      <c r="E68" s="27"/>
      <c r="F68" s="27"/>
      <c r="G68" s="27"/>
      <c r="H68" s="27"/>
      <c r="I68" s="27"/>
    </row>
    <row r="69" spans="1:9" ht="18" customHeight="1" x14ac:dyDescent="0.3">
      <c r="A69" s="27"/>
      <c r="B69" s="27"/>
      <c r="C69" s="27"/>
      <c r="D69" s="27"/>
      <c r="E69" s="27"/>
      <c r="F69" s="27"/>
      <c r="G69" s="27"/>
      <c r="H69" s="27"/>
      <c r="I69" s="27"/>
    </row>
    <row r="70" spans="1:9" ht="18" customHeight="1" x14ac:dyDescent="0.3">
      <c r="A70" s="27"/>
      <c r="B70" s="27"/>
      <c r="C70" s="27"/>
      <c r="D70" s="27"/>
      <c r="E70" s="27"/>
      <c r="F70" s="27"/>
      <c r="G70" s="27"/>
      <c r="H70" s="27"/>
      <c r="I70" s="27"/>
    </row>
    <row r="71" spans="1:9" ht="18" customHeight="1" x14ac:dyDescent="0.3">
      <c r="A71" s="83" t="s">
        <v>60</v>
      </c>
      <c r="B71" s="84"/>
      <c r="C71" s="84"/>
      <c r="D71" s="84"/>
      <c r="E71" s="84"/>
      <c r="F71" s="84"/>
      <c r="G71" s="84"/>
      <c r="H71" s="84"/>
      <c r="I71" s="85"/>
    </row>
    <row r="72" spans="1:9" ht="55.2" x14ac:dyDescent="0.3">
      <c r="A72" s="28" t="s">
        <v>49</v>
      </c>
      <c r="B72" s="28" t="s">
        <v>1</v>
      </c>
      <c r="C72" s="28" t="s">
        <v>8</v>
      </c>
      <c r="D72" s="34" t="s">
        <v>42</v>
      </c>
      <c r="E72" s="34" t="s">
        <v>37</v>
      </c>
      <c r="F72" s="34" t="s">
        <v>38</v>
      </c>
      <c r="G72" s="28" t="s">
        <v>41</v>
      </c>
      <c r="H72" s="28" t="s">
        <v>39</v>
      </c>
      <c r="I72" s="28" t="s">
        <v>40</v>
      </c>
    </row>
    <row r="73" spans="1:9" ht="18" customHeight="1" x14ac:dyDescent="0.3">
      <c r="A73" s="39" t="s">
        <v>45</v>
      </c>
      <c r="B73" s="39">
        <v>27100</v>
      </c>
      <c r="C73" s="39">
        <v>22000</v>
      </c>
      <c r="D73" s="39">
        <v>21500</v>
      </c>
      <c r="E73" s="39">
        <v>3800</v>
      </c>
      <c r="F73" s="39">
        <v>2500</v>
      </c>
      <c r="G73" s="39">
        <v>22000</v>
      </c>
      <c r="H73" s="39">
        <v>3000</v>
      </c>
      <c r="I73" s="39">
        <v>1000</v>
      </c>
    </row>
    <row r="74" spans="1:9" ht="18" customHeight="1" x14ac:dyDescent="0.3">
      <c r="A74" s="39" t="s">
        <v>47</v>
      </c>
      <c r="B74" s="39">
        <v>27100</v>
      </c>
      <c r="C74" s="39">
        <v>22000</v>
      </c>
      <c r="D74" s="39">
        <v>21500</v>
      </c>
      <c r="E74" s="39">
        <v>3800</v>
      </c>
      <c r="F74" s="39">
        <v>2500</v>
      </c>
      <c r="G74" s="39">
        <v>22000</v>
      </c>
      <c r="H74" s="39">
        <v>3000</v>
      </c>
      <c r="I74" s="39">
        <v>1000</v>
      </c>
    </row>
    <row r="75" spans="1:9" ht="18" customHeight="1" x14ac:dyDescent="0.3">
      <c r="A75" s="39" t="s">
        <v>46</v>
      </c>
      <c r="B75" s="39">
        <v>30400</v>
      </c>
      <c r="C75" s="39">
        <v>27500</v>
      </c>
      <c r="D75" s="39">
        <v>26750</v>
      </c>
      <c r="E75" s="39">
        <v>4500</v>
      </c>
      <c r="F75" s="39">
        <v>4250</v>
      </c>
      <c r="G75" s="39">
        <v>27500</v>
      </c>
      <c r="H75" s="39">
        <v>3500</v>
      </c>
      <c r="I75" s="39">
        <v>3000</v>
      </c>
    </row>
    <row r="76" spans="1:9" ht="18" customHeight="1" x14ac:dyDescent="0.3">
      <c r="A76" s="39" t="s">
        <v>48</v>
      </c>
      <c r="B76" s="39">
        <v>47700</v>
      </c>
      <c r="C76" s="39">
        <v>40000</v>
      </c>
      <c r="D76" s="39">
        <v>39000</v>
      </c>
      <c r="E76" s="39">
        <v>7000</v>
      </c>
      <c r="F76" s="39">
        <v>4000</v>
      </c>
      <c r="G76" s="39">
        <v>40000</v>
      </c>
      <c r="H76" s="39">
        <v>5000</v>
      </c>
      <c r="I76" s="39">
        <v>5000</v>
      </c>
    </row>
    <row r="77" spans="1:9" ht="18" customHeight="1" x14ac:dyDescent="0.3">
      <c r="A77" s="39" t="s">
        <v>54</v>
      </c>
      <c r="B77" s="39">
        <v>50400</v>
      </c>
      <c r="C77" s="39">
        <v>44200</v>
      </c>
      <c r="D77" s="39">
        <v>43000</v>
      </c>
      <c r="E77" s="39">
        <v>7500</v>
      </c>
      <c r="F77" s="39">
        <v>5500</v>
      </c>
      <c r="G77" s="39">
        <v>44200</v>
      </c>
      <c r="H77" s="39">
        <v>5700</v>
      </c>
      <c r="I77" s="39">
        <v>4300</v>
      </c>
    </row>
    <row r="78" spans="1:9" ht="18" customHeight="1" x14ac:dyDescent="0.3">
      <c r="A78" s="59" t="s">
        <v>53</v>
      </c>
      <c r="B78" s="59">
        <v>50400</v>
      </c>
      <c r="C78" s="59">
        <v>44200</v>
      </c>
      <c r="D78" s="59">
        <v>43000</v>
      </c>
      <c r="E78" s="59">
        <v>7500</v>
      </c>
      <c r="F78" s="59">
        <v>5500</v>
      </c>
      <c r="G78" s="59">
        <v>44200</v>
      </c>
      <c r="H78" s="59">
        <v>5700</v>
      </c>
      <c r="I78" s="59">
        <v>4300</v>
      </c>
    </row>
    <row r="79" spans="1:9" s="60" customFormat="1" x14ac:dyDescent="0.3">
      <c r="A79" s="47"/>
      <c r="B79" s="47"/>
      <c r="C79" s="47"/>
      <c r="D79" s="47"/>
      <c r="E79" s="47"/>
      <c r="F79" s="47"/>
      <c r="G79" s="47"/>
      <c r="H79" s="47"/>
      <c r="I79" s="47"/>
    </row>
    <row r="80" spans="1:9" s="60" customFormat="1" x14ac:dyDescent="0.3">
      <c r="A80" s="47"/>
      <c r="B80" s="47"/>
      <c r="C80" s="47"/>
      <c r="D80" s="47"/>
      <c r="E80" s="47"/>
      <c r="F80" s="47"/>
      <c r="G80" s="47"/>
      <c r="H80" s="47"/>
      <c r="I80" s="47"/>
    </row>
    <row r="81" spans="1:9" s="60" customFormat="1" x14ac:dyDescent="0.3">
      <c r="A81" s="47"/>
      <c r="B81" s="47"/>
      <c r="C81" s="47"/>
      <c r="D81" s="47"/>
      <c r="E81" s="47"/>
      <c r="F81" s="47"/>
      <c r="G81" s="47"/>
      <c r="H81" s="47"/>
      <c r="I81" s="47"/>
    </row>
    <row r="82" spans="1:9" s="60" customFormat="1" x14ac:dyDescent="0.3">
      <c r="A82" s="47"/>
      <c r="B82" s="47"/>
      <c r="C82" s="47"/>
      <c r="D82" s="47"/>
      <c r="E82" s="47"/>
      <c r="F82" s="47"/>
      <c r="G82" s="47"/>
      <c r="H82" s="47"/>
      <c r="I82" s="47"/>
    </row>
    <row r="83" spans="1:9" s="60" customFormat="1" x14ac:dyDescent="0.3">
      <c r="A83" s="47"/>
      <c r="B83" s="47"/>
      <c r="C83" s="47"/>
      <c r="D83" s="47"/>
      <c r="E83" s="47"/>
      <c r="F83" s="47"/>
      <c r="G83" s="47"/>
      <c r="H83" s="47"/>
      <c r="I83" s="47"/>
    </row>
    <row r="84" spans="1:9" s="60" customFormat="1" x14ac:dyDescent="0.3">
      <c r="A84" s="47"/>
      <c r="B84" s="47"/>
      <c r="C84" s="47"/>
      <c r="D84" s="47"/>
      <c r="E84" s="47"/>
      <c r="F84" s="47"/>
      <c r="G84" s="47"/>
      <c r="H84" s="47"/>
      <c r="I84" s="47"/>
    </row>
    <row r="85" spans="1:9" s="60" customFormat="1" x14ac:dyDescent="0.3">
      <c r="A85" s="47"/>
      <c r="B85" s="47"/>
      <c r="C85" s="47"/>
      <c r="D85" s="47"/>
      <c r="E85" s="47"/>
      <c r="F85" s="47"/>
      <c r="G85" s="47"/>
      <c r="H85" s="47"/>
      <c r="I85" s="47"/>
    </row>
    <row r="86" spans="1:9" s="60" customFormat="1" x14ac:dyDescent="0.3">
      <c r="A86" s="47"/>
      <c r="B86" s="47"/>
      <c r="C86" s="47"/>
      <c r="D86" s="47"/>
      <c r="E86" s="47"/>
      <c r="F86" s="47"/>
      <c r="G86" s="47"/>
      <c r="H86" s="47"/>
      <c r="I86" s="47"/>
    </row>
    <row r="87" spans="1:9" s="60" customFormat="1" x14ac:dyDescent="0.3">
      <c r="A87" s="47"/>
      <c r="B87" s="47"/>
      <c r="C87" s="47"/>
      <c r="D87" s="47"/>
      <c r="E87" s="47"/>
      <c r="F87" s="47"/>
      <c r="G87" s="47"/>
      <c r="H87" s="47"/>
      <c r="I87" s="47"/>
    </row>
    <row r="88" spans="1:9" s="48" customFormat="1" ht="18" customHeight="1" x14ac:dyDescent="0.3">
      <c r="A88" s="89" t="s">
        <v>61</v>
      </c>
      <c r="B88" s="90"/>
      <c r="C88" s="90"/>
      <c r="D88" s="90"/>
      <c r="E88" s="90"/>
      <c r="F88" s="90"/>
      <c r="G88" s="90"/>
      <c r="H88" s="90"/>
      <c r="I88" s="91"/>
    </row>
    <row r="89" spans="1:9" ht="27.6" x14ac:dyDescent="0.3">
      <c r="A89" s="44" t="s">
        <v>49</v>
      </c>
      <c r="B89" s="44" t="s">
        <v>1</v>
      </c>
      <c r="C89" s="44" t="s">
        <v>2</v>
      </c>
      <c r="D89" s="44" t="s">
        <v>3</v>
      </c>
      <c r="E89" s="44" t="s">
        <v>44</v>
      </c>
      <c r="F89" s="44" t="s">
        <v>4</v>
      </c>
      <c r="G89" s="44" t="s">
        <v>5</v>
      </c>
      <c r="H89" s="44" t="s">
        <v>6</v>
      </c>
      <c r="I89" s="44" t="s">
        <v>7</v>
      </c>
    </row>
    <row r="90" spans="1:9" ht="18" customHeight="1" x14ac:dyDescent="0.3">
      <c r="A90" s="41" t="s">
        <v>45</v>
      </c>
      <c r="B90" s="41">
        <v>31100</v>
      </c>
      <c r="C90" s="41">
        <v>28000</v>
      </c>
      <c r="D90" s="41">
        <v>25750</v>
      </c>
      <c r="E90" s="41">
        <v>26600</v>
      </c>
      <c r="F90" s="41">
        <v>9200</v>
      </c>
      <c r="G90" s="41">
        <v>6700</v>
      </c>
      <c r="H90" s="41">
        <v>6700</v>
      </c>
      <c r="I90" s="41">
        <v>4000</v>
      </c>
    </row>
    <row r="91" spans="1:9" ht="18" customHeight="1" x14ac:dyDescent="0.3">
      <c r="A91" s="41" t="s">
        <v>47</v>
      </c>
      <c r="B91" s="41">
        <v>31100</v>
      </c>
      <c r="C91" s="41">
        <v>28000</v>
      </c>
      <c r="D91" s="41">
        <v>25750</v>
      </c>
      <c r="E91" s="41">
        <v>26600</v>
      </c>
      <c r="F91" s="41">
        <v>9200</v>
      </c>
      <c r="G91" s="41">
        <v>6700</v>
      </c>
      <c r="H91" s="41">
        <v>6700</v>
      </c>
      <c r="I91" s="41">
        <v>4000</v>
      </c>
    </row>
    <row r="92" spans="1:9" ht="18" customHeight="1" x14ac:dyDescent="0.3">
      <c r="A92" s="41" t="s">
        <v>46</v>
      </c>
      <c r="B92" s="41">
        <v>34400</v>
      </c>
      <c r="C92" s="41">
        <v>31000</v>
      </c>
      <c r="D92" s="41">
        <v>28500</v>
      </c>
      <c r="E92" s="41">
        <v>29500</v>
      </c>
      <c r="F92" s="41">
        <v>10300</v>
      </c>
      <c r="G92" s="41">
        <v>7400</v>
      </c>
      <c r="H92" s="41">
        <v>7400</v>
      </c>
      <c r="I92" s="41">
        <v>4400</v>
      </c>
    </row>
    <row r="93" spans="1:9" ht="18" customHeight="1" x14ac:dyDescent="0.3">
      <c r="A93" s="41" t="s">
        <v>48</v>
      </c>
      <c r="B93" s="41">
        <v>54400</v>
      </c>
      <c r="C93" s="41">
        <v>49000</v>
      </c>
      <c r="D93" s="41">
        <v>45000</v>
      </c>
      <c r="E93" s="41">
        <v>46600</v>
      </c>
      <c r="F93" s="41">
        <v>16200</v>
      </c>
      <c r="G93" s="41">
        <v>11700</v>
      </c>
      <c r="H93" s="41">
        <v>11700</v>
      </c>
      <c r="I93" s="41">
        <v>7000</v>
      </c>
    </row>
    <row r="94" spans="1:9" ht="18" customHeight="1" x14ac:dyDescent="0.3">
      <c r="A94" s="41" t="s">
        <v>54</v>
      </c>
      <c r="B94" s="41">
        <v>58400</v>
      </c>
      <c r="C94" s="41">
        <v>52600</v>
      </c>
      <c r="D94" s="41">
        <v>48300</v>
      </c>
      <c r="E94" s="41">
        <v>50000</v>
      </c>
      <c r="F94" s="41">
        <v>17500</v>
      </c>
      <c r="G94" s="41">
        <v>12500</v>
      </c>
      <c r="H94" s="41">
        <v>12500</v>
      </c>
      <c r="I94" s="41">
        <v>7500</v>
      </c>
    </row>
    <row r="95" spans="1:9" ht="18" customHeight="1" x14ac:dyDescent="0.3">
      <c r="A95" s="41" t="s">
        <v>55</v>
      </c>
      <c r="B95" s="41">
        <v>58400</v>
      </c>
      <c r="C95" s="41">
        <v>52600</v>
      </c>
      <c r="D95" s="41">
        <v>48300</v>
      </c>
      <c r="E95" s="41">
        <v>50000</v>
      </c>
      <c r="F95" s="41">
        <v>17500</v>
      </c>
      <c r="G95" s="41">
        <v>12500</v>
      </c>
      <c r="H95" s="41">
        <v>12500</v>
      </c>
      <c r="I95" s="41">
        <v>7500</v>
      </c>
    </row>
    <row r="96" spans="1:9" x14ac:dyDescent="0.3">
      <c r="A96" s="42"/>
      <c r="B96" s="42"/>
      <c r="C96" s="42"/>
      <c r="D96" s="42"/>
      <c r="E96" s="42"/>
      <c r="F96" s="42"/>
      <c r="G96" s="42"/>
      <c r="H96" s="42"/>
      <c r="I96" s="42"/>
    </row>
    <row r="97" spans="1:9" x14ac:dyDescent="0.3">
      <c r="A97" s="42"/>
      <c r="B97" s="42"/>
      <c r="C97" s="42"/>
      <c r="D97" s="42"/>
      <c r="E97" s="42"/>
      <c r="F97" s="42"/>
      <c r="G97" s="42"/>
      <c r="H97" s="42"/>
      <c r="I97" s="42"/>
    </row>
    <row r="98" spans="1:9" x14ac:dyDescent="0.3">
      <c r="A98" s="42"/>
      <c r="B98" s="42"/>
      <c r="C98" s="42"/>
      <c r="D98" s="42"/>
      <c r="E98" s="42"/>
      <c r="F98" s="42"/>
      <c r="G98" s="42"/>
      <c r="H98" s="42"/>
      <c r="I98" s="42"/>
    </row>
    <row r="99" spans="1:9" x14ac:dyDescent="0.3">
      <c r="A99" s="42"/>
      <c r="B99" s="42"/>
      <c r="C99" s="42"/>
      <c r="D99" s="42"/>
      <c r="E99" s="42"/>
      <c r="F99" s="42"/>
      <c r="G99" s="42"/>
      <c r="H99" s="42"/>
      <c r="I99" s="42"/>
    </row>
    <row r="100" spans="1:9" ht="18" customHeight="1" x14ac:dyDescent="0.3">
      <c r="A100" s="86" t="s">
        <v>61</v>
      </c>
      <c r="B100" s="87"/>
      <c r="C100" s="87"/>
      <c r="D100" s="87"/>
      <c r="E100" s="87"/>
      <c r="F100" s="87"/>
      <c r="G100" s="87"/>
      <c r="H100" s="87"/>
      <c r="I100" s="88"/>
    </row>
    <row r="101" spans="1:9" ht="55.2" x14ac:dyDescent="0.3">
      <c r="A101" s="30" t="s">
        <v>49</v>
      </c>
      <c r="B101" s="30" t="s">
        <v>1</v>
      </c>
      <c r="C101" s="30" t="s">
        <v>8</v>
      </c>
      <c r="D101" s="25" t="s">
        <v>42</v>
      </c>
      <c r="E101" s="25" t="s">
        <v>37</v>
      </c>
      <c r="F101" s="25" t="s">
        <v>38</v>
      </c>
      <c r="G101" s="30" t="s">
        <v>41</v>
      </c>
      <c r="H101" s="30" t="s">
        <v>39</v>
      </c>
      <c r="I101" s="30" t="s">
        <v>40</v>
      </c>
    </row>
    <row r="102" spans="1:9" ht="18" customHeight="1" x14ac:dyDescent="0.3">
      <c r="A102" s="41" t="s">
        <v>45</v>
      </c>
      <c r="B102" s="41">
        <v>31100</v>
      </c>
      <c r="C102" s="41">
        <v>28000</v>
      </c>
      <c r="D102" s="46">
        <v>27300</v>
      </c>
      <c r="E102" s="46">
        <v>4600</v>
      </c>
      <c r="F102" s="46">
        <v>4300</v>
      </c>
      <c r="G102" s="41">
        <v>28000</v>
      </c>
      <c r="H102" s="41">
        <v>3600</v>
      </c>
      <c r="I102" s="41">
        <v>2800</v>
      </c>
    </row>
    <row r="103" spans="1:9" ht="18" customHeight="1" x14ac:dyDescent="0.3">
      <c r="A103" s="41" t="s">
        <v>47</v>
      </c>
      <c r="B103" s="41">
        <v>31100</v>
      </c>
      <c r="C103" s="41">
        <v>28000</v>
      </c>
      <c r="D103" s="46">
        <v>27300</v>
      </c>
      <c r="E103" s="46">
        <v>4600</v>
      </c>
      <c r="F103" s="46">
        <v>4300</v>
      </c>
      <c r="G103" s="41">
        <v>28000</v>
      </c>
      <c r="H103" s="41">
        <v>3600</v>
      </c>
      <c r="I103" s="41">
        <v>2800</v>
      </c>
    </row>
    <row r="104" spans="1:9" ht="18" customHeight="1" x14ac:dyDescent="0.3">
      <c r="A104" s="41" t="s">
        <v>46</v>
      </c>
      <c r="B104" s="41">
        <v>34400</v>
      </c>
      <c r="C104" s="41">
        <v>31000</v>
      </c>
      <c r="D104" s="46">
        <v>30200</v>
      </c>
      <c r="E104" s="46">
        <v>5100</v>
      </c>
      <c r="F104" s="46">
        <v>4700</v>
      </c>
      <c r="G104" s="41">
        <v>31000</v>
      </c>
      <c r="H104" s="41">
        <v>3900</v>
      </c>
      <c r="I104" s="41">
        <v>3700</v>
      </c>
    </row>
    <row r="105" spans="1:9" ht="18" customHeight="1" x14ac:dyDescent="0.3">
      <c r="A105" s="41" t="s">
        <v>48</v>
      </c>
      <c r="B105" s="41">
        <v>54400</v>
      </c>
      <c r="C105" s="41">
        <v>49000</v>
      </c>
      <c r="D105" s="46">
        <v>47700</v>
      </c>
      <c r="E105" s="46">
        <v>8000</v>
      </c>
      <c r="F105" s="46">
        <v>7700</v>
      </c>
      <c r="G105" s="41">
        <v>49000</v>
      </c>
      <c r="H105" s="41">
        <v>6200</v>
      </c>
      <c r="I105" s="41">
        <v>5600</v>
      </c>
    </row>
    <row r="106" spans="1:9" ht="18" customHeight="1" x14ac:dyDescent="0.3">
      <c r="A106" s="41" t="s">
        <v>54</v>
      </c>
      <c r="B106" s="41">
        <v>58400</v>
      </c>
      <c r="C106" s="41">
        <v>52600</v>
      </c>
      <c r="D106" s="46">
        <v>51300</v>
      </c>
      <c r="E106" s="46">
        <v>8600</v>
      </c>
      <c r="F106" s="46">
        <v>8300</v>
      </c>
      <c r="G106" s="41">
        <v>52600</v>
      </c>
      <c r="H106" s="41">
        <v>6600</v>
      </c>
      <c r="I106" s="41">
        <v>6400</v>
      </c>
    </row>
    <row r="107" spans="1:9" ht="18" customHeight="1" x14ac:dyDescent="0.3">
      <c r="A107" s="41" t="s">
        <v>55</v>
      </c>
      <c r="B107" s="41">
        <v>58400</v>
      </c>
      <c r="C107" s="41">
        <v>52600</v>
      </c>
      <c r="D107" s="46">
        <v>51300</v>
      </c>
      <c r="E107" s="49">
        <v>8600</v>
      </c>
      <c r="F107" s="49">
        <v>8300</v>
      </c>
      <c r="G107" s="41">
        <v>52600</v>
      </c>
      <c r="H107" s="50">
        <v>6600</v>
      </c>
      <c r="I107" s="50">
        <v>6400</v>
      </c>
    </row>
  </sheetData>
  <mergeCells count="8">
    <mergeCell ref="A71:I71"/>
    <mergeCell ref="A100:I100"/>
    <mergeCell ref="A88:I88"/>
    <mergeCell ref="A4:I4"/>
    <mergeCell ref="A15:I15"/>
    <mergeCell ref="A30:I30"/>
    <mergeCell ref="A40:I40"/>
    <mergeCell ref="A59:I59"/>
  </mergeCells>
  <pageMargins left="0.7" right="0.7" top="0.75" bottom="0.75" header="0.3" footer="0.3"/>
  <pageSetup paperSize="9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7"/>
  <sheetViews>
    <sheetView topLeftCell="A56" zoomScale="102" zoomScaleNormal="102" workbookViewId="0">
      <selection activeCell="M12" sqref="M12"/>
    </sheetView>
  </sheetViews>
  <sheetFormatPr defaultColWidth="8.77734375" defaultRowHeight="18" customHeight="1" x14ac:dyDescent="0.3"/>
  <cols>
    <col min="1" max="3" width="13.33203125" style="42" customWidth="1"/>
    <col min="4" max="4" width="15.109375" style="42" customWidth="1"/>
    <col min="5" max="8" width="13.33203125" style="42" customWidth="1"/>
    <col min="9" max="9" width="11.88671875" style="42" bestFit="1" customWidth="1"/>
    <col min="10" max="10" width="11.77734375" style="42" customWidth="1"/>
    <col min="11" max="16384" width="8.77734375" style="42"/>
  </cols>
  <sheetData>
    <row r="2" spans="1:9" ht="18" customHeight="1" x14ac:dyDescent="0.3">
      <c r="A2" s="83" t="s">
        <v>25</v>
      </c>
      <c r="B2" s="84"/>
      <c r="C2" s="84"/>
      <c r="D2" s="84"/>
      <c r="E2" s="84"/>
      <c r="F2" s="84"/>
      <c r="G2" s="84"/>
      <c r="H2" s="84"/>
      <c r="I2" s="85"/>
    </row>
    <row r="3" spans="1:9" ht="27.6" x14ac:dyDescent="0.3">
      <c r="A3" s="43" t="s">
        <v>0</v>
      </c>
      <c r="B3" s="43" t="s">
        <v>1</v>
      </c>
      <c r="C3" s="43" t="s">
        <v>2</v>
      </c>
      <c r="D3" s="43" t="s">
        <v>3</v>
      </c>
      <c r="E3" s="43" t="s">
        <v>44</v>
      </c>
      <c r="F3" s="43" t="s">
        <v>4</v>
      </c>
      <c r="G3" s="43" t="s">
        <v>5</v>
      </c>
      <c r="H3" s="43" t="s">
        <v>6</v>
      </c>
      <c r="I3" s="43" t="s">
        <v>7</v>
      </c>
    </row>
    <row r="4" spans="1:9" ht="18" customHeight="1" x14ac:dyDescent="0.3">
      <c r="A4" s="39" t="s">
        <v>11</v>
      </c>
      <c r="B4" s="39">
        <v>21000</v>
      </c>
      <c r="C4" s="39">
        <v>19000</v>
      </c>
      <c r="D4" s="39">
        <v>17400</v>
      </c>
      <c r="E4" s="39">
        <f>SUM(F4:I4)</f>
        <v>18100</v>
      </c>
      <c r="F4" s="39">
        <v>6400</v>
      </c>
      <c r="G4" s="39">
        <v>4500</v>
      </c>
      <c r="H4" s="39">
        <v>4500</v>
      </c>
      <c r="I4" s="39">
        <v>2700</v>
      </c>
    </row>
    <row r="5" spans="1:9" ht="18" customHeight="1" x14ac:dyDescent="0.3">
      <c r="A5" s="39" t="s">
        <v>26</v>
      </c>
      <c r="B5" s="39">
        <v>27750</v>
      </c>
      <c r="C5" s="39">
        <v>25000</v>
      </c>
      <c r="D5" s="39">
        <v>22900</v>
      </c>
      <c r="E5" s="39">
        <f t="shared" ref="E5:E11" si="0">SUM(F5:I5)</f>
        <v>23800</v>
      </c>
      <c r="F5" s="39">
        <v>8400</v>
      </c>
      <c r="G5" s="39">
        <v>5900</v>
      </c>
      <c r="H5" s="39">
        <v>5900</v>
      </c>
      <c r="I5" s="39">
        <v>3600</v>
      </c>
    </row>
    <row r="6" spans="1:9" ht="18" customHeight="1" x14ac:dyDescent="0.3">
      <c r="A6" s="39" t="s">
        <v>12</v>
      </c>
      <c r="B6" s="39">
        <v>27750</v>
      </c>
      <c r="C6" s="39">
        <v>25000</v>
      </c>
      <c r="D6" s="39">
        <v>22900</v>
      </c>
      <c r="E6" s="39">
        <f t="shared" si="0"/>
        <v>23800</v>
      </c>
      <c r="F6" s="39">
        <v>8400</v>
      </c>
      <c r="G6" s="39">
        <v>5900</v>
      </c>
      <c r="H6" s="39">
        <v>5900</v>
      </c>
      <c r="I6" s="39">
        <v>3600</v>
      </c>
    </row>
    <row r="7" spans="1:9" ht="18" customHeight="1" x14ac:dyDescent="0.3">
      <c r="A7" s="39" t="s">
        <v>20</v>
      </c>
      <c r="B7" s="39">
        <v>34500</v>
      </c>
      <c r="C7" s="39">
        <v>31000</v>
      </c>
      <c r="D7" s="39">
        <v>28400</v>
      </c>
      <c r="E7" s="39">
        <f t="shared" si="0"/>
        <v>29500</v>
      </c>
      <c r="F7" s="39">
        <v>10300</v>
      </c>
      <c r="G7" s="39">
        <v>7400</v>
      </c>
      <c r="H7" s="39">
        <v>7400</v>
      </c>
      <c r="I7" s="39">
        <v>4400</v>
      </c>
    </row>
    <row r="8" spans="1:9" ht="18" customHeight="1" x14ac:dyDescent="0.3">
      <c r="A8" s="39" t="s">
        <v>13</v>
      </c>
      <c r="B8" s="39">
        <v>27750</v>
      </c>
      <c r="C8" s="39">
        <v>25000</v>
      </c>
      <c r="D8" s="39">
        <v>22900</v>
      </c>
      <c r="E8" s="39">
        <f t="shared" si="0"/>
        <v>23800</v>
      </c>
      <c r="F8" s="39">
        <v>8400</v>
      </c>
      <c r="G8" s="39">
        <v>5900</v>
      </c>
      <c r="H8" s="39">
        <v>5900</v>
      </c>
      <c r="I8" s="39">
        <v>3600</v>
      </c>
    </row>
    <row r="9" spans="1:9" ht="18" customHeight="1" x14ac:dyDescent="0.3">
      <c r="A9" s="39" t="s">
        <v>21</v>
      </c>
      <c r="B9" s="39">
        <v>34500</v>
      </c>
      <c r="C9" s="39">
        <v>31000</v>
      </c>
      <c r="D9" s="39">
        <v>28400</v>
      </c>
      <c r="E9" s="39">
        <f t="shared" si="0"/>
        <v>29500</v>
      </c>
      <c r="F9" s="39">
        <v>10300</v>
      </c>
      <c r="G9" s="39">
        <v>7400</v>
      </c>
      <c r="H9" s="39">
        <v>7400</v>
      </c>
      <c r="I9" s="39">
        <v>4400</v>
      </c>
    </row>
    <row r="10" spans="1:9" ht="18" customHeight="1" x14ac:dyDescent="0.3">
      <c r="A10" s="39" t="s">
        <v>27</v>
      </c>
      <c r="B10" s="39">
        <v>41000</v>
      </c>
      <c r="C10" s="39">
        <v>37000</v>
      </c>
      <c r="D10" s="39">
        <v>33900</v>
      </c>
      <c r="E10" s="39">
        <f t="shared" si="0"/>
        <v>35200</v>
      </c>
      <c r="F10" s="39">
        <v>12300</v>
      </c>
      <c r="G10" s="39">
        <v>8800</v>
      </c>
      <c r="H10" s="39">
        <v>8800</v>
      </c>
      <c r="I10" s="39">
        <v>5300</v>
      </c>
    </row>
    <row r="11" spans="1:9" ht="18" customHeight="1" x14ac:dyDescent="0.3">
      <c r="A11" s="39" t="s">
        <v>15</v>
      </c>
      <c r="B11" s="39">
        <v>41000</v>
      </c>
      <c r="C11" s="39">
        <v>37000</v>
      </c>
      <c r="D11" s="39">
        <v>33900</v>
      </c>
      <c r="E11" s="39">
        <f t="shared" si="0"/>
        <v>35200</v>
      </c>
      <c r="F11" s="39">
        <v>12300</v>
      </c>
      <c r="G11" s="39">
        <v>8800</v>
      </c>
      <c r="H11" s="39">
        <v>8800</v>
      </c>
      <c r="I11" s="39">
        <v>5300</v>
      </c>
    </row>
    <row r="12" spans="1:9" ht="18" customHeight="1" x14ac:dyDescent="0.3">
      <c r="A12" s="61" t="s">
        <v>62</v>
      </c>
      <c r="B12" s="61">
        <v>14500</v>
      </c>
      <c r="C12" s="61">
        <f>1000*12+1000</f>
        <v>13000</v>
      </c>
      <c r="D12" s="61">
        <f>C12-1000</f>
        <v>12000</v>
      </c>
      <c r="E12" s="61">
        <v>12400</v>
      </c>
      <c r="F12" s="61">
        <v>4300</v>
      </c>
      <c r="G12" s="61">
        <v>3000</v>
      </c>
      <c r="H12" s="61">
        <v>3000</v>
      </c>
      <c r="I12" s="61">
        <v>2100</v>
      </c>
    </row>
    <row r="14" spans="1:9" ht="18" customHeight="1" x14ac:dyDescent="0.3">
      <c r="A14" s="77" t="s">
        <v>25</v>
      </c>
      <c r="B14" s="78"/>
      <c r="C14" s="79"/>
      <c r="D14" s="79"/>
      <c r="E14" s="79"/>
      <c r="F14" s="79"/>
      <c r="G14" s="79"/>
      <c r="H14" s="79"/>
      <c r="I14" s="79"/>
    </row>
    <row r="15" spans="1:9" ht="55.2" x14ac:dyDescent="0.3">
      <c r="A15" s="28" t="s">
        <v>0</v>
      </c>
      <c r="B15" s="28" t="s">
        <v>1</v>
      </c>
      <c r="C15" s="28" t="s">
        <v>8</v>
      </c>
      <c r="D15" s="34" t="s">
        <v>42</v>
      </c>
      <c r="E15" s="34" t="s">
        <v>37</v>
      </c>
      <c r="F15" s="34" t="s">
        <v>38</v>
      </c>
      <c r="G15" s="28" t="s">
        <v>41</v>
      </c>
      <c r="H15" s="28" t="s">
        <v>39</v>
      </c>
      <c r="I15" s="28" t="s">
        <v>40</v>
      </c>
    </row>
    <row r="16" spans="1:9" ht="18" customHeight="1" x14ac:dyDescent="0.3">
      <c r="A16" s="33" t="s">
        <v>11</v>
      </c>
      <c r="B16" s="39">
        <v>21000</v>
      </c>
      <c r="C16" s="29">
        <v>19000</v>
      </c>
      <c r="D16" s="35">
        <v>18600</v>
      </c>
      <c r="E16" s="35">
        <v>3200</v>
      </c>
      <c r="F16" s="35">
        <v>2600</v>
      </c>
      <c r="G16" s="29">
        <v>19000</v>
      </c>
      <c r="H16" s="29">
        <v>2500</v>
      </c>
      <c r="I16" s="29">
        <v>1500</v>
      </c>
    </row>
    <row r="17" spans="1:9" ht="18" customHeight="1" x14ac:dyDescent="0.3">
      <c r="A17" s="33" t="s">
        <v>26</v>
      </c>
      <c r="B17" s="39">
        <v>27750</v>
      </c>
      <c r="C17" s="29">
        <v>25000</v>
      </c>
      <c r="D17" s="35">
        <v>24400</v>
      </c>
      <c r="E17" s="35">
        <v>4200</v>
      </c>
      <c r="F17" s="35">
        <v>3400</v>
      </c>
      <c r="G17" s="29">
        <v>25000</v>
      </c>
      <c r="H17" s="29">
        <v>3300</v>
      </c>
      <c r="I17" s="29">
        <v>1900</v>
      </c>
    </row>
    <row r="18" spans="1:9" ht="18" customHeight="1" x14ac:dyDescent="0.3">
      <c r="A18" s="33" t="s">
        <v>12</v>
      </c>
      <c r="B18" s="39">
        <v>27750</v>
      </c>
      <c r="C18" s="29">
        <v>25000</v>
      </c>
      <c r="D18" s="35">
        <v>24400</v>
      </c>
      <c r="E18" s="35">
        <v>4200</v>
      </c>
      <c r="F18" s="35">
        <v>3400</v>
      </c>
      <c r="G18" s="29">
        <v>25000</v>
      </c>
      <c r="H18" s="29">
        <v>3300</v>
      </c>
      <c r="I18" s="29">
        <v>1900</v>
      </c>
    </row>
    <row r="19" spans="1:9" ht="18" customHeight="1" x14ac:dyDescent="0.3">
      <c r="A19" s="33" t="s">
        <v>20</v>
      </c>
      <c r="B19" s="39">
        <v>34500</v>
      </c>
      <c r="C19" s="29">
        <v>31000</v>
      </c>
      <c r="D19" s="35">
        <v>30200</v>
      </c>
      <c r="E19" s="35">
        <v>5300</v>
      </c>
      <c r="F19" s="35">
        <v>3700</v>
      </c>
      <c r="G19" s="29">
        <v>31000</v>
      </c>
      <c r="H19" s="29">
        <v>4100</v>
      </c>
      <c r="I19" s="29">
        <v>2300</v>
      </c>
    </row>
    <row r="20" spans="1:9" ht="18" customHeight="1" x14ac:dyDescent="0.3">
      <c r="A20" s="33" t="s">
        <v>13</v>
      </c>
      <c r="B20" s="39">
        <v>27750</v>
      </c>
      <c r="C20" s="29">
        <v>25000</v>
      </c>
      <c r="D20" s="35">
        <v>24400</v>
      </c>
      <c r="E20" s="35">
        <v>4200</v>
      </c>
      <c r="F20" s="35">
        <v>3400</v>
      </c>
      <c r="G20" s="29">
        <v>25000</v>
      </c>
      <c r="H20" s="29">
        <v>3300</v>
      </c>
      <c r="I20" s="29">
        <v>1900</v>
      </c>
    </row>
    <row r="21" spans="1:9" ht="18" customHeight="1" x14ac:dyDescent="0.3">
      <c r="A21" s="33" t="s">
        <v>21</v>
      </c>
      <c r="B21" s="39">
        <v>34500</v>
      </c>
      <c r="C21" s="29">
        <v>31000</v>
      </c>
      <c r="D21" s="35">
        <v>30200</v>
      </c>
      <c r="E21" s="35">
        <v>5300</v>
      </c>
      <c r="F21" s="35">
        <v>3700</v>
      </c>
      <c r="G21" s="29">
        <v>31000</v>
      </c>
      <c r="H21" s="29">
        <v>4100</v>
      </c>
      <c r="I21" s="29">
        <v>2300</v>
      </c>
    </row>
    <row r="22" spans="1:9" ht="18" customHeight="1" x14ac:dyDescent="0.3">
      <c r="A22" s="33" t="s">
        <v>14</v>
      </c>
      <c r="B22" s="39">
        <v>41000</v>
      </c>
      <c r="C22" s="29">
        <v>37000</v>
      </c>
      <c r="D22" s="35">
        <v>36100</v>
      </c>
      <c r="E22" s="35">
        <v>6300</v>
      </c>
      <c r="F22" s="35">
        <v>4600</v>
      </c>
      <c r="G22" s="29">
        <v>37000</v>
      </c>
      <c r="H22" s="29">
        <v>4900</v>
      </c>
      <c r="I22" s="29">
        <v>2700</v>
      </c>
    </row>
    <row r="23" spans="1:9" ht="18" customHeight="1" x14ac:dyDescent="0.3">
      <c r="A23" s="33" t="s">
        <v>15</v>
      </c>
      <c r="B23" s="39">
        <v>41000</v>
      </c>
      <c r="C23" s="29">
        <v>37000</v>
      </c>
      <c r="D23" s="35">
        <v>36100</v>
      </c>
      <c r="E23" s="35">
        <v>6300</v>
      </c>
      <c r="F23" s="35">
        <v>4600</v>
      </c>
      <c r="G23" s="29">
        <v>37000</v>
      </c>
      <c r="H23" s="29">
        <v>4900</v>
      </c>
      <c r="I23" s="29">
        <v>2700</v>
      </c>
    </row>
    <row r="24" spans="1:9" ht="18" customHeight="1" x14ac:dyDescent="0.3">
      <c r="A24" s="61" t="s">
        <v>62</v>
      </c>
      <c r="B24" s="61">
        <v>14500</v>
      </c>
      <c r="C24" s="61">
        <f>1000*12+1000</f>
        <v>13000</v>
      </c>
      <c r="D24" s="61">
        <v>12700</v>
      </c>
      <c r="E24" s="61">
        <v>2300</v>
      </c>
      <c r="F24" s="61">
        <v>1200</v>
      </c>
      <c r="G24" s="61">
        <f>1000*12+1000</f>
        <v>13000</v>
      </c>
      <c r="H24" s="61">
        <v>1700</v>
      </c>
      <c r="I24" s="61">
        <v>1100</v>
      </c>
    </row>
    <row r="26" spans="1:9" ht="18" customHeight="1" x14ac:dyDescent="0.3">
      <c r="A26" s="92" t="s">
        <v>28</v>
      </c>
      <c r="B26" s="84"/>
      <c r="C26" s="84"/>
      <c r="D26" s="84"/>
      <c r="E26" s="84"/>
      <c r="F26" s="84"/>
      <c r="G26" s="84"/>
      <c r="H26" s="84"/>
      <c r="I26" s="85"/>
    </row>
    <row r="27" spans="1:9" ht="27.6" x14ac:dyDescent="0.3">
      <c r="A27" s="44" t="s">
        <v>0</v>
      </c>
      <c r="B27" s="44" t="s">
        <v>1</v>
      </c>
      <c r="C27" s="44" t="s">
        <v>2</v>
      </c>
      <c r="D27" s="44" t="s">
        <v>3</v>
      </c>
      <c r="E27" s="44" t="s">
        <v>44</v>
      </c>
      <c r="F27" s="44" t="s">
        <v>4</v>
      </c>
      <c r="G27" s="44" t="s">
        <v>5</v>
      </c>
      <c r="H27" s="44" t="s">
        <v>6</v>
      </c>
      <c r="I27" s="44" t="s">
        <v>7</v>
      </c>
    </row>
    <row r="28" spans="1:9" ht="18" customHeight="1" x14ac:dyDescent="0.3">
      <c r="A28" s="41" t="s">
        <v>11</v>
      </c>
      <c r="B28" s="45">
        <v>34500</v>
      </c>
      <c r="C28" s="45">
        <v>31000</v>
      </c>
      <c r="D28" s="45">
        <v>28400</v>
      </c>
      <c r="E28" s="45">
        <f>SUM(F28:I28)</f>
        <v>29400</v>
      </c>
      <c r="F28" s="45">
        <v>10400</v>
      </c>
      <c r="G28" s="45">
        <v>7300</v>
      </c>
      <c r="H28" s="45">
        <v>7300</v>
      </c>
      <c r="I28" s="45">
        <v>4400</v>
      </c>
    </row>
    <row r="29" spans="1:9" ht="18" customHeight="1" x14ac:dyDescent="0.3">
      <c r="A29" s="41" t="s">
        <v>26</v>
      </c>
      <c r="B29" s="45">
        <v>41000</v>
      </c>
      <c r="C29" s="45">
        <v>37000</v>
      </c>
      <c r="D29" s="45">
        <v>33900</v>
      </c>
      <c r="E29" s="45">
        <f t="shared" ref="E29:E35" si="1">SUM(F29:I29)</f>
        <v>35100</v>
      </c>
      <c r="F29" s="45">
        <v>12400</v>
      </c>
      <c r="G29" s="45">
        <v>8700</v>
      </c>
      <c r="H29" s="45">
        <v>8700</v>
      </c>
      <c r="I29" s="45">
        <v>5300</v>
      </c>
    </row>
    <row r="30" spans="1:9" ht="18" customHeight="1" x14ac:dyDescent="0.3">
      <c r="A30" s="41" t="s">
        <v>12</v>
      </c>
      <c r="B30" s="45">
        <v>41000</v>
      </c>
      <c r="C30" s="45">
        <v>37000</v>
      </c>
      <c r="D30" s="45">
        <v>33900</v>
      </c>
      <c r="E30" s="45">
        <f t="shared" si="1"/>
        <v>35100</v>
      </c>
      <c r="F30" s="45">
        <v>12400</v>
      </c>
      <c r="G30" s="45">
        <v>8700</v>
      </c>
      <c r="H30" s="45">
        <v>8700</v>
      </c>
      <c r="I30" s="45">
        <v>5300</v>
      </c>
    </row>
    <row r="31" spans="1:9" ht="18" customHeight="1" x14ac:dyDescent="0.3">
      <c r="A31" s="41" t="s">
        <v>20</v>
      </c>
      <c r="B31" s="45">
        <v>47750</v>
      </c>
      <c r="C31" s="45">
        <v>43000</v>
      </c>
      <c r="D31" s="45">
        <v>39400</v>
      </c>
      <c r="E31" s="45">
        <f t="shared" si="1"/>
        <v>40900</v>
      </c>
      <c r="F31" s="45">
        <v>14400</v>
      </c>
      <c r="G31" s="45">
        <v>10200</v>
      </c>
      <c r="H31" s="45">
        <v>10200</v>
      </c>
      <c r="I31" s="45">
        <v>6100</v>
      </c>
    </row>
    <row r="32" spans="1:9" ht="18" customHeight="1" x14ac:dyDescent="0.3">
      <c r="A32" s="41" t="s">
        <v>13</v>
      </c>
      <c r="B32" s="45">
        <v>41000</v>
      </c>
      <c r="C32" s="45">
        <v>37000</v>
      </c>
      <c r="D32" s="45">
        <v>33900</v>
      </c>
      <c r="E32" s="45">
        <f t="shared" si="1"/>
        <v>35100</v>
      </c>
      <c r="F32" s="45">
        <v>12400</v>
      </c>
      <c r="G32" s="45">
        <v>8700</v>
      </c>
      <c r="H32" s="45">
        <v>8700</v>
      </c>
      <c r="I32" s="45">
        <v>5300</v>
      </c>
    </row>
    <row r="33" spans="1:9" ht="18" customHeight="1" x14ac:dyDescent="0.3">
      <c r="A33" s="41" t="s">
        <v>21</v>
      </c>
      <c r="B33" s="45">
        <v>47750</v>
      </c>
      <c r="C33" s="45">
        <v>43000</v>
      </c>
      <c r="D33" s="45">
        <v>39400</v>
      </c>
      <c r="E33" s="45">
        <f t="shared" si="1"/>
        <v>40900</v>
      </c>
      <c r="F33" s="45">
        <v>14400</v>
      </c>
      <c r="G33" s="45">
        <v>10200</v>
      </c>
      <c r="H33" s="45">
        <v>10200</v>
      </c>
      <c r="I33" s="45">
        <v>6100</v>
      </c>
    </row>
    <row r="34" spans="1:9" ht="18" customHeight="1" x14ac:dyDescent="0.3">
      <c r="A34" s="41" t="s">
        <v>27</v>
      </c>
      <c r="B34" s="45">
        <v>54500</v>
      </c>
      <c r="C34" s="45">
        <v>49000</v>
      </c>
      <c r="D34" s="45">
        <v>44900</v>
      </c>
      <c r="E34" s="45">
        <f t="shared" si="1"/>
        <v>46600</v>
      </c>
      <c r="F34" s="45">
        <v>16400</v>
      </c>
      <c r="G34" s="45">
        <v>11600</v>
      </c>
      <c r="H34" s="45">
        <v>11600</v>
      </c>
      <c r="I34" s="45">
        <v>7000</v>
      </c>
    </row>
    <row r="35" spans="1:9" ht="18" customHeight="1" x14ac:dyDescent="0.3">
      <c r="A35" s="41" t="s">
        <v>15</v>
      </c>
      <c r="B35" s="45">
        <v>54500</v>
      </c>
      <c r="C35" s="45">
        <v>49000</v>
      </c>
      <c r="D35" s="45">
        <v>44900</v>
      </c>
      <c r="E35" s="45">
        <f t="shared" si="1"/>
        <v>46600</v>
      </c>
      <c r="F35" s="45">
        <v>16400</v>
      </c>
      <c r="G35" s="45">
        <v>11600</v>
      </c>
      <c r="H35" s="45">
        <v>11600</v>
      </c>
      <c r="I35" s="45">
        <v>7000</v>
      </c>
    </row>
    <row r="36" spans="1:9" ht="18" customHeight="1" x14ac:dyDescent="0.3">
      <c r="A36" s="62" t="s">
        <v>62</v>
      </c>
      <c r="B36" s="62">
        <v>17800</v>
      </c>
      <c r="C36" s="62">
        <v>16000</v>
      </c>
      <c r="D36" s="62">
        <v>15000</v>
      </c>
      <c r="E36" s="62">
        <v>14300</v>
      </c>
      <c r="F36" s="62">
        <v>5000</v>
      </c>
      <c r="G36" s="62">
        <v>3500</v>
      </c>
      <c r="H36" s="62">
        <v>3500</v>
      </c>
      <c r="I36" s="62">
        <v>2300</v>
      </c>
    </row>
    <row r="38" spans="1:9" ht="18" customHeight="1" x14ac:dyDescent="0.3">
      <c r="A38" s="80" t="s">
        <v>28</v>
      </c>
      <c r="B38" s="81"/>
      <c r="C38" s="82"/>
      <c r="D38" s="82"/>
      <c r="E38" s="82"/>
      <c r="F38" s="82"/>
      <c r="G38" s="82"/>
      <c r="H38" s="82"/>
      <c r="I38" s="82"/>
    </row>
    <row r="39" spans="1:9" ht="55.2" x14ac:dyDescent="0.3">
      <c r="A39" s="30" t="s">
        <v>0</v>
      </c>
      <c r="B39" s="30" t="s">
        <v>1</v>
      </c>
      <c r="C39" s="30" t="s">
        <v>8</v>
      </c>
      <c r="D39" s="25" t="s">
        <v>42</v>
      </c>
      <c r="E39" s="25" t="s">
        <v>37</v>
      </c>
      <c r="F39" s="25" t="s">
        <v>38</v>
      </c>
      <c r="G39" s="30" t="s">
        <v>41</v>
      </c>
      <c r="H39" s="30" t="s">
        <v>39</v>
      </c>
      <c r="I39" s="30" t="s">
        <v>40</v>
      </c>
    </row>
    <row r="40" spans="1:9" ht="18" customHeight="1" x14ac:dyDescent="0.3">
      <c r="A40" s="31" t="s">
        <v>11</v>
      </c>
      <c r="B40" s="45">
        <v>34500</v>
      </c>
      <c r="C40" s="32">
        <v>31000</v>
      </c>
      <c r="D40" s="38">
        <v>30200</v>
      </c>
      <c r="E40" s="38">
        <v>5300</v>
      </c>
      <c r="F40" s="38">
        <v>3700</v>
      </c>
      <c r="G40" s="32">
        <v>31000</v>
      </c>
      <c r="H40" s="32">
        <v>4100</v>
      </c>
      <c r="I40" s="32">
        <v>2300</v>
      </c>
    </row>
    <row r="41" spans="1:9" ht="18" customHeight="1" x14ac:dyDescent="0.3">
      <c r="A41" s="31" t="s">
        <v>26</v>
      </c>
      <c r="B41" s="45">
        <v>41000</v>
      </c>
      <c r="C41" s="32">
        <v>37000</v>
      </c>
      <c r="D41" s="38">
        <v>36100</v>
      </c>
      <c r="E41" s="38">
        <v>6300</v>
      </c>
      <c r="F41" s="38">
        <v>4600</v>
      </c>
      <c r="G41" s="32">
        <v>37000</v>
      </c>
      <c r="H41" s="32">
        <v>4900</v>
      </c>
      <c r="I41" s="32">
        <v>2700</v>
      </c>
    </row>
    <row r="42" spans="1:9" ht="18" customHeight="1" x14ac:dyDescent="0.3">
      <c r="A42" s="31" t="s">
        <v>12</v>
      </c>
      <c r="B42" s="45">
        <v>41000</v>
      </c>
      <c r="C42" s="32">
        <v>37000</v>
      </c>
      <c r="D42" s="38">
        <v>36100</v>
      </c>
      <c r="E42" s="38">
        <v>6300</v>
      </c>
      <c r="F42" s="38">
        <v>4600</v>
      </c>
      <c r="G42" s="32">
        <v>37000</v>
      </c>
      <c r="H42" s="32">
        <v>4900</v>
      </c>
      <c r="I42" s="32">
        <v>2700</v>
      </c>
    </row>
    <row r="43" spans="1:9" ht="18" customHeight="1" x14ac:dyDescent="0.3">
      <c r="A43" s="31" t="s">
        <v>20</v>
      </c>
      <c r="B43" s="45">
        <v>47750</v>
      </c>
      <c r="C43" s="32">
        <v>43000</v>
      </c>
      <c r="D43" s="38">
        <v>41900</v>
      </c>
      <c r="E43" s="38">
        <v>7300</v>
      </c>
      <c r="F43" s="38">
        <v>5400</v>
      </c>
      <c r="G43" s="32">
        <v>43000</v>
      </c>
      <c r="H43" s="32">
        <v>5700</v>
      </c>
      <c r="I43" s="32">
        <v>3100</v>
      </c>
    </row>
    <row r="44" spans="1:9" ht="18" customHeight="1" x14ac:dyDescent="0.3">
      <c r="A44" s="31" t="s">
        <v>13</v>
      </c>
      <c r="B44" s="45">
        <v>41000</v>
      </c>
      <c r="C44" s="32">
        <v>37000</v>
      </c>
      <c r="D44" s="38">
        <v>36100</v>
      </c>
      <c r="E44" s="38">
        <v>6300</v>
      </c>
      <c r="F44" s="38">
        <v>4600</v>
      </c>
      <c r="G44" s="32">
        <v>37000</v>
      </c>
      <c r="H44" s="32">
        <v>4900</v>
      </c>
      <c r="I44" s="32">
        <v>2700</v>
      </c>
    </row>
    <row r="45" spans="1:9" ht="18" customHeight="1" x14ac:dyDescent="0.3">
      <c r="A45" s="31" t="s">
        <v>21</v>
      </c>
      <c r="B45" s="45">
        <v>47750</v>
      </c>
      <c r="C45" s="32">
        <v>43000</v>
      </c>
      <c r="D45" s="38">
        <v>41900</v>
      </c>
      <c r="E45" s="38">
        <v>7300</v>
      </c>
      <c r="F45" s="38">
        <v>5400</v>
      </c>
      <c r="G45" s="32">
        <v>43000</v>
      </c>
      <c r="H45" s="32">
        <v>5700</v>
      </c>
      <c r="I45" s="32">
        <v>3100</v>
      </c>
    </row>
    <row r="46" spans="1:9" ht="18" customHeight="1" x14ac:dyDescent="0.3">
      <c r="A46" s="31" t="s">
        <v>14</v>
      </c>
      <c r="B46" s="45">
        <v>54500</v>
      </c>
      <c r="C46" s="32">
        <v>49000</v>
      </c>
      <c r="D46" s="38">
        <v>47800</v>
      </c>
      <c r="E46" s="38">
        <v>8300</v>
      </c>
      <c r="F46" s="38">
        <v>6300</v>
      </c>
      <c r="G46" s="32">
        <v>49000</v>
      </c>
      <c r="H46" s="32">
        <v>6500</v>
      </c>
      <c r="I46" s="32">
        <v>3500</v>
      </c>
    </row>
    <row r="47" spans="1:9" ht="18" customHeight="1" x14ac:dyDescent="0.3">
      <c r="A47" s="31" t="s">
        <v>15</v>
      </c>
      <c r="B47" s="45">
        <v>54500</v>
      </c>
      <c r="C47" s="32">
        <v>49000</v>
      </c>
      <c r="D47" s="38">
        <v>47800</v>
      </c>
      <c r="E47" s="38">
        <v>8300</v>
      </c>
      <c r="F47" s="38">
        <v>6300</v>
      </c>
      <c r="G47" s="32">
        <v>49000</v>
      </c>
      <c r="H47" s="32">
        <v>6500</v>
      </c>
      <c r="I47" s="32">
        <v>3500</v>
      </c>
    </row>
    <row r="48" spans="1:9" ht="18" customHeight="1" x14ac:dyDescent="0.3">
      <c r="A48" s="62" t="s">
        <v>62</v>
      </c>
      <c r="B48" s="62">
        <v>17800</v>
      </c>
      <c r="C48" s="62">
        <v>16000</v>
      </c>
      <c r="D48" s="62">
        <v>15600</v>
      </c>
      <c r="E48" s="62">
        <v>2800</v>
      </c>
      <c r="F48" s="62">
        <v>1600</v>
      </c>
      <c r="G48" s="62">
        <v>16000</v>
      </c>
      <c r="H48" s="62">
        <v>2100</v>
      </c>
      <c r="I48" s="62">
        <v>1300</v>
      </c>
    </row>
    <row r="52" spans="1:9" ht="18" customHeight="1" x14ac:dyDescent="0.3">
      <c r="A52" s="83" t="s">
        <v>50</v>
      </c>
      <c r="B52" s="84"/>
      <c r="C52" s="84"/>
      <c r="D52" s="84"/>
      <c r="E52" s="84"/>
      <c r="F52" s="84"/>
      <c r="G52" s="84"/>
      <c r="H52" s="84"/>
      <c r="I52" s="85"/>
    </row>
    <row r="53" spans="1:9" ht="27.6" x14ac:dyDescent="0.3">
      <c r="A53" s="43" t="s">
        <v>49</v>
      </c>
      <c r="B53" s="43" t="s">
        <v>1</v>
      </c>
      <c r="C53" s="43" t="s">
        <v>2</v>
      </c>
      <c r="D53" s="43" t="s">
        <v>3</v>
      </c>
      <c r="E53" s="43" t="s">
        <v>44</v>
      </c>
      <c r="F53" s="43" t="s">
        <v>4</v>
      </c>
      <c r="G53" s="43" t="s">
        <v>5</v>
      </c>
      <c r="H53" s="43" t="s">
        <v>6</v>
      </c>
      <c r="I53" s="43" t="s">
        <v>7</v>
      </c>
    </row>
    <row r="54" spans="1:9" ht="18" customHeight="1" x14ac:dyDescent="0.3">
      <c r="A54" s="39" t="s">
        <v>45</v>
      </c>
      <c r="B54" s="39">
        <v>18000</v>
      </c>
      <c r="C54" s="39">
        <v>16000</v>
      </c>
      <c r="D54" s="39">
        <v>14750</v>
      </c>
      <c r="E54" s="39">
        <v>15250</v>
      </c>
      <c r="F54" s="39">
        <v>5000</v>
      </c>
      <c r="G54" s="39">
        <v>4000</v>
      </c>
      <c r="H54" s="39">
        <v>4000</v>
      </c>
      <c r="I54" s="39">
        <v>2250</v>
      </c>
    </row>
    <row r="55" spans="1:9" ht="18" customHeight="1" x14ac:dyDescent="0.3">
      <c r="A55" s="39" t="s">
        <v>47</v>
      </c>
      <c r="B55" s="39">
        <v>18000</v>
      </c>
      <c r="C55" s="39">
        <v>16000</v>
      </c>
      <c r="D55" s="39">
        <v>14750</v>
      </c>
      <c r="E55" s="39">
        <v>15250</v>
      </c>
      <c r="F55" s="39">
        <v>5000</v>
      </c>
      <c r="G55" s="39">
        <v>4000</v>
      </c>
      <c r="H55" s="39">
        <v>4000</v>
      </c>
      <c r="I55" s="39">
        <v>2250</v>
      </c>
    </row>
    <row r="56" spans="1:9" ht="18" customHeight="1" x14ac:dyDescent="0.3">
      <c r="A56" s="39" t="s">
        <v>46</v>
      </c>
      <c r="B56" s="39">
        <v>22500</v>
      </c>
      <c r="C56" s="39">
        <v>20000</v>
      </c>
      <c r="D56" s="39">
        <v>18500</v>
      </c>
      <c r="E56" s="39">
        <v>19000</v>
      </c>
      <c r="F56" s="39">
        <v>6500</v>
      </c>
      <c r="G56" s="39">
        <v>4500</v>
      </c>
      <c r="H56" s="39">
        <v>4500</v>
      </c>
      <c r="I56" s="39">
        <v>3500</v>
      </c>
    </row>
    <row r="57" spans="1:9" ht="18" customHeight="1" x14ac:dyDescent="0.3">
      <c r="A57" s="39" t="s">
        <v>48</v>
      </c>
      <c r="B57" s="39">
        <v>31000</v>
      </c>
      <c r="C57" s="39">
        <v>27500</v>
      </c>
      <c r="D57" s="39">
        <v>25500</v>
      </c>
      <c r="E57" s="39">
        <v>26250</v>
      </c>
      <c r="F57" s="39">
        <v>9000</v>
      </c>
      <c r="G57" s="39">
        <v>6500</v>
      </c>
      <c r="H57" s="39">
        <v>6500</v>
      </c>
      <c r="I57" s="39">
        <v>4250</v>
      </c>
    </row>
    <row r="58" spans="1:9" ht="18" customHeight="1" x14ac:dyDescent="0.3">
      <c r="A58" s="39" t="s">
        <v>54</v>
      </c>
      <c r="B58" s="39">
        <v>34400</v>
      </c>
      <c r="C58" s="39">
        <v>31000</v>
      </c>
      <c r="D58" s="39">
        <v>28500</v>
      </c>
      <c r="E58" s="39">
        <v>29450</v>
      </c>
      <c r="F58" s="39">
        <v>10300</v>
      </c>
      <c r="G58" s="39">
        <v>7400</v>
      </c>
      <c r="H58" s="39">
        <v>7400</v>
      </c>
      <c r="I58" s="39">
        <v>4350</v>
      </c>
    </row>
    <row r="59" spans="1:9" ht="18" customHeight="1" x14ac:dyDescent="0.3">
      <c r="A59" s="39" t="s">
        <v>56</v>
      </c>
      <c r="B59" s="39">
        <v>34400</v>
      </c>
      <c r="C59" s="39">
        <v>31000</v>
      </c>
      <c r="D59" s="39">
        <v>28500</v>
      </c>
      <c r="E59" s="39">
        <v>29450</v>
      </c>
      <c r="F59" s="39">
        <v>10300</v>
      </c>
      <c r="G59" s="39">
        <v>7400</v>
      </c>
      <c r="H59" s="39">
        <v>7400</v>
      </c>
      <c r="I59" s="39">
        <v>4350</v>
      </c>
    </row>
    <row r="60" spans="1:9" ht="13.05" customHeight="1" x14ac:dyDescent="0.3">
      <c r="A60" s="27"/>
      <c r="B60" s="27"/>
      <c r="C60" s="27"/>
      <c r="D60" s="27"/>
      <c r="E60" s="27"/>
      <c r="F60" s="27"/>
      <c r="G60" s="27"/>
      <c r="H60" s="27"/>
      <c r="I60" s="27"/>
    </row>
    <row r="61" spans="1:9" ht="13.05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</row>
    <row r="62" spans="1:9" ht="13.05" customHeight="1" x14ac:dyDescent="0.3">
      <c r="A62" s="27"/>
      <c r="B62" s="27"/>
      <c r="C62" s="27"/>
      <c r="D62" s="27"/>
      <c r="E62" s="27"/>
      <c r="F62" s="27"/>
      <c r="G62" s="27"/>
      <c r="H62" s="27"/>
      <c r="I62" s="27"/>
    </row>
    <row r="63" spans="1:9" ht="13.05" customHeight="1" x14ac:dyDescent="0.3">
      <c r="A63" s="27"/>
      <c r="B63" s="27"/>
      <c r="C63" s="27"/>
      <c r="D63" s="27"/>
      <c r="E63" s="27"/>
      <c r="F63" s="27"/>
      <c r="G63" s="27"/>
      <c r="H63" s="27"/>
      <c r="I63" s="27"/>
    </row>
    <row r="64" spans="1:9" ht="18" customHeight="1" x14ac:dyDescent="0.3">
      <c r="A64" s="83" t="s">
        <v>50</v>
      </c>
      <c r="B64" s="84"/>
      <c r="C64" s="84"/>
      <c r="D64" s="84"/>
      <c r="E64" s="84"/>
      <c r="F64" s="84"/>
      <c r="G64" s="84"/>
      <c r="H64" s="84"/>
      <c r="I64" s="85"/>
    </row>
    <row r="65" spans="1:9" ht="55.2" x14ac:dyDescent="0.3">
      <c r="A65" s="28" t="s">
        <v>49</v>
      </c>
      <c r="B65" s="28" t="s">
        <v>1</v>
      </c>
      <c r="C65" s="28" t="s">
        <v>8</v>
      </c>
      <c r="D65" s="34" t="s">
        <v>42</v>
      </c>
      <c r="E65" s="34" t="s">
        <v>37</v>
      </c>
      <c r="F65" s="34" t="s">
        <v>38</v>
      </c>
      <c r="G65" s="28" t="s">
        <v>41</v>
      </c>
      <c r="H65" s="28" t="s">
        <v>39</v>
      </c>
      <c r="I65" s="28" t="s">
        <v>40</v>
      </c>
    </row>
    <row r="66" spans="1:9" ht="16.95" customHeight="1" x14ac:dyDescent="0.3">
      <c r="A66" s="39" t="s">
        <v>45</v>
      </c>
      <c r="B66" s="39">
        <v>18000</v>
      </c>
      <c r="C66" s="39">
        <v>16000</v>
      </c>
      <c r="D66" s="40">
        <v>15750</v>
      </c>
      <c r="E66" s="40">
        <v>2750</v>
      </c>
      <c r="F66" s="40">
        <v>2000</v>
      </c>
      <c r="G66" s="39">
        <v>16000</v>
      </c>
      <c r="H66" s="39">
        <v>2000</v>
      </c>
      <c r="I66" s="39">
        <v>2000</v>
      </c>
    </row>
    <row r="67" spans="1:9" ht="16.95" customHeight="1" x14ac:dyDescent="0.3">
      <c r="A67" s="39" t="s">
        <v>47</v>
      </c>
      <c r="B67" s="39">
        <v>18000</v>
      </c>
      <c r="C67" s="39">
        <v>16000</v>
      </c>
      <c r="D67" s="40">
        <v>15750</v>
      </c>
      <c r="E67" s="40">
        <v>2750</v>
      </c>
      <c r="F67" s="40">
        <v>2000</v>
      </c>
      <c r="G67" s="39">
        <v>16000</v>
      </c>
      <c r="H67" s="39">
        <v>2000</v>
      </c>
      <c r="I67" s="39">
        <v>2000</v>
      </c>
    </row>
    <row r="68" spans="1:9" ht="16.95" customHeight="1" x14ac:dyDescent="0.3">
      <c r="A68" s="39" t="s">
        <v>46</v>
      </c>
      <c r="B68" s="39">
        <v>22500</v>
      </c>
      <c r="C68" s="39">
        <v>20000</v>
      </c>
      <c r="D68" s="40">
        <v>19500</v>
      </c>
      <c r="E68" s="40">
        <v>3500</v>
      </c>
      <c r="F68" s="40">
        <v>2000</v>
      </c>
      <c r="G68" s="39">
        <v>20000</v>
      </c>
      <c r="H68" s="39">
        <v>2500</v>
      </c>
      <c r="I68" s="39">
        <v>2500</v>
      </c>
    </row>
    <row r="69" spans="1:9" ht="16.95" customHeight="1" x14ac:dyDescent="0.3">
      <c r="A69" s="39" t="s">
        <v>48</v>
      </c>
      <c r="B69" s="39">
        <v>31000</v>
      </c>
      <c r="C69" s="39">
        <v>27500</v>
      </c>
      <c r="D69" s="40">
        <v>27000</v>
      </c>
      <c r="E69" s="40">
        <v>5000</v>
      </c>
      <c r="F69" s="40">
        <v>2000</v>
      </c>
      <c r="G69" s="39">
        <v>27500</v>
      </c>
      <c r="H69" s="39">
        <v>3500</v>
      </c>
      <c r="I69" s="39">
        <v>3000</v>
      </c>
    </row>
    <row r="70" spans="1:9" ht="16.95" customHeight="1" x14ac:dyDescent="0.3">
      <c r="A70" s="39" t="s">
        <v>54</v>
      </c>
      <c r="B70" s="39">
        <v>34400</v>
      </c>
      <c r="C70" s="39">
        <v>31000</v>
      </c>
      <c r="D70" s="40">
        <v>30200</v>
      </c>
      <c r="E70" s="40">
        <v>5200</v>
      </c>
      <c r="F70" s="40">
        <v>4200</v>
      </c>
      <c r="G70" s="39">
        <v>31000</v>
      </c>
      <c r="H70" s="39">
        <v>4000</v>
      </c>
      <c r="I70" s="39">
        <v>3000</v>
      </c>
    </row>
    <row r="71" spans="1:9" ht="16.95" customHeight="1" x14ac:dyDescent="0.3">
      <c r="A71" s="39" t="s">
        <v>56</v>
      </c>
      <c r="B71" s="39">
        <v>34400</v>
      </c>
      <c r="C71" s="39">
        <v>31000</v>
      </c>
      <c r="D71" s="40">
        <v>30200</v>
      </c>
      <c r="E71" s="40">
        <v>5200</v>
      </c>
      <c r="F71" s="40">
        <v>4200</v>
      </c>
      <c r="G71" s="39">
        <v>31000</v>
      </c>
      <c r="H71" s="39">
        <v>4000</v>
      </c>
      <c r="I71" s="39">
        <v>3000</v>
      </c>
    </row>
    <row r="72" spans="1:9" ht="13.05" customHeight="1" x14ac:dyDescent="0.3"/>
    <row r="73" spans="1:9" ht="13.05" customHeight="1" x14ac:dyDescent="0.3"/>
    <row r="74" spans="1:9" ht="13.05" customHeight="1" x14ac:dyDescent="0.3"/>
    <row r="75" spans="1:9" ht="13.05" customHeight="1" x14ac:dyDescent="0.3"/>
    <row r="76" spans="1:9" ht="13.05" customHeight="1" x14ac:dyDescent="0.3"/>
    <row r="77" spans="1:9" ht="13.05" customHeight="1" x14ac:dyDescent="0.3"/>
    <row r="78" spans="1:9" ht="18" customHeight="1" x14ac:dyDescent="0.3">
      <c r="A78" s="92" t="s">
        <v>51</v>
      </c>
      <c r="B78" s="84"/>
      <c r="C78" s="84"/>
      <c r="D78" s="84"/>
      <c r="E78" s="84"/>
      <c r="F78" s="84"/>
      <c r="G78" s="84"/>
      <c r="H78" s="84"/>
      <c r="I78" s="85"/>
    </row>
    <row r="79" spans="1:9" ht="27.6" x14ac:dyDescent="0.3">
      <c r="A79" s="44" t="s">
        <v>49</v>
      </c>
      <c r="B79" s="44" t="s">
        <v>1</v>
      </c>
      <c r="C79" s="44" t="s">
        <v>2</v>
      </c>
      <c r="D79" s="44" t="s">
        <v>3</v>
      </c>
      <c r="E79" s="44" t="s">
        <v>44</v>
      </c>
      <c r="F79" s="44" t="s">
        <v>4</v>
      </c>
      <c r="G79" s="44" t="s">
        <v>5</v>
      </c>
      <c r="H79" s="44" t="s">
        <v>6</v>
      </c>
      <c r="I79" s="44" t="s">
        <v>7</v>
      </c>
    </row>
    <row r="80" spans="1:9" ht="18" customHeight="1" x14ac:dyDescent="0.3">
      <c r="A80" s="41" t="s">
        <v>45</v>
      </c>
      <c r="B80" s="41">
        <v>22000</v>
      </c>
      <c r="C80" s="41">
        <v>19000</v>
      </c>
      <c r="D80" s="41">
        <v>17500</v>
      </c>
      <c r="E80" s="41">
        <v>18000</v>
      </c>
      <c r="F80" s="41">
        <v>6000</v>
      </c>
      <c r="G80" s="41">
        <v>4500</v>
      </c>
      <c r="H80" s="41">
        <v>4500</v>
      </c>
      <c r="I80" s="41">
        <v>3000</v>
      </c>
    </row>
    <row r="81" spans="1:9" ht="18" customHeight="1" x14ac:dyDescent="0.3">
      <c r="A81" s="41" t="s">
        <v>47</v>
      </c>
      <c r="B81" s="41">
        <v>22000</v>
      </c>
      <c r="C81" s="41">
        <v>19000</v>
      </c>
      <c r="D81" s="41">
        <v>17500</v>
      </c>
      <c r="E81" s="41">
        <v>18000</v>
      </c>
      <c r="F81" s="41">
        <v>6000</v>
      </c>
      <c r="G81" s="41">
        <v>4500</v>
      </c>
      <c r="H81" s="41">
        <v>4500</v>
      </c>
      <c r="I81" s="41">
        <v>3000</v>
      </c>
    </row>
    <row r="82" spans="1:9" ht="18" customHeight="1" x14ac:dyDescent="0.3">
      <c r="A82" s="41" t="s">
        <v>46</v>
      </c>
      <c r="B82" s="41">
        <v>28000</v>
      </c>
      <c r="C82" s="41">
        <v>25000</v>
      </c>
      <c r="D82" s="41">
        <v>23000</v>
      </c>
      <c r="E82" s="41">
        <v>23750</v>
      </c>
      <c r="F82" s="41">
        <v>8000</v>
      </c>
      <c r="G82" s="41">
        <v>6000</v>
      </c>
      <c r="H82" s="41">
        <v>6000</v>
      </c>
      <c r="I82" s="41">
        <v>3750</v>
      </c>
    </row>
    <row r="83" spans="1:9" ht="18" customHeight="1" x14ac:dyDescent="0.3">
      <c r="A83" s="41" t="s">
        <v>48</v>
      </c>
      <c r="B83" s="41">
        <v>35000</v>
      </c>
      <c r="C83" s="41">
        <v>31000</v>
      </c>
      <c r="D83" s="41">
        <v>28500</v>
      </c>
      <c r="E83" s="41">
        <v>29500</v>
      </c>
      <c r="F83" s="41">
        <v>10000</v>
      </c>
      <c r="G83" s="41">
        <v>7250</v>
      </c>
      <c r="H83" s="41">
        <v>7250</v>
      </c>
      <c r="I83" s="41">
        <v>5000</v>
      </c>
    </row>
    <row r="84" spans="1:9" ht="18" customHeight="1" x14ac:dyDescent="0.3">
      <c r="A84" s="41" t="s">
        <v>54</v>
      </c>
      <c r="B84" s="41">
        <v>43900</v>
      </c>
      <c r="C84" s="41">
        <v>39500</v>
      </c>
      <c r="D84" s="41">
        <v>36300</v>
      </c>
      <c r="E84" s="41">
        <v>37500</v>
      </c>
      <c r="F84" s="41">
        <v>13000</v>
      </c>
      <c r="G84" s="41">
        <v>9500</v>
      </c>
      <c r="H84" s="41">
        <v>9500</v>
      </c>
      <c r="I84" s="41">
        <v>5500</v>
      </c>
    </row>
    <row r="85" spans="1:9" ht="18" customHeight="1" x14ac:dyDescent="0.3">
      <c r="A85" s="41" t="s">
        <v>55</v>
      </c>
      <c r="B85" s="41">
        <v>43900</v>
      </c>
      <c r="C85" s="41">
        <v>39500</v>
      </c>
      <c r="D85" s="41">
        <v>36300</v>
      </c>
      <c r="E85" s="41">
        <v>37500</v>
      </c>
      <c r="F85" s="41">
        <v>13000</v>
      </c>
      <c r="G85" s="41">
        <v>9500</v>
      </c>
      <c r="H85" s="41">
        <v>9500</v>
      </c>
      <c r="I85" s="41">
        <v>5500</v>
      </c>
    </row>
    <row r="86" spans="1:9" ht="13.05" customHeight="1" x14ac:dyDescent="0.3"/>
    <row r="87" spans="1:9" ht="13.05" customHeight="1" x14ac:dyDescent="0.3"/>
    <row r="88" spans="1:9" ht="13.05" customHeight="1" x14ac:dyDescent="0.3"/>
    <row r="89" spans="1:9" ht="13.05" customHeight="1" x14ac:dyDescent="0.3"/>
    <row r="90" spans="1:9" ht="18" customHeight="1" x14ac:dyDescent="0.3">
      <c r="A90" s="92" t="s">
        <v>51</v>
      </c>
      <c r="B90" s="84"/>
      <c r="C90" s="84"/>
      <c r="D90" s="84"/>
      <c r="E90" s="84"/>
      <c r="F90" s="84"/>
      <c r="G90" s="84"/>
      <c r="H90" s="84"/>
      <c r="I90" s="85"/>
    </row>
    <row r="91" spans="1:9" ht="55.2" x14ac:dyDescent="0.3">
      <c r="A91" s="30" t="s">
        <v>49</v>
      </c>
      <c r="B91" s="30" t="s">
        <v>1</v>
      </c>
      <c r="C91" s="30" t="s">
        <v>8</v>
      </c>
      <c r="D91" s="25" t="s">
        <v>42</v>
      </c>
      <c r="E91" s="25" t="s">
        <v>37</v>
      </c>
      <c r="F91" s="25" t="s">
        <v>38</v>
      </c>
      <c r="G91" s="30" t="s">
        <v>41</v>
      </c>
      <c r="H91" s="30" t="s">
        <v>39</v>
      </c>
      <c r="I91" s="30" t="s">
        <v>40</v>
      </c>
    </row>
    <row r="92" spans="1:9" ht="18" customHeight="1" x14ac:dyDescent="0.3">
      <c r="A92" s="41" t="s">
        <v>45</v>
      </c>
      <c r="B92" s="41">
        <v>22000</v>
      </c>
      <c r="C92" s="41">
        <v>19000</v>
      </c>
      <c r="D92" s="46">
        <v>18500</v>
      </c>
      <c r="E92" s="46">
        <v>3200</v>
      </c>
      <c r="F92" s="46">
        <v>2500</v>
      </c>
      <c r="G92" s="41">
        <v>19000</v>
      </c>
      <c r="H92" s="41">
        <v>2500</v>
      </c>
      <c r="I92" s="41">
        <v>1500</v>
      </c>
    </row>
    <row r="93" spans="1:9" ht="18" customHeight="1" x14ac:dyDescent="0.3">
      <c r="A93" s="41" t="s">
        <v>47</v>
      </c>
      <c r="B93" s="41">
        <v>22000</v>
      </c>
      <c r="C93" s="41">
        <v>19000</v>
      </c>
      <c r="D93" s="46">
        <v>18500</v>
      </c>
      <c r="E93" s="46">
        <v>3200</v>
      </c>
      <c r="F93" s="46">
        <v>2500</v>
      </c>
      <c r="G93" s="41">
        <v>19000</v>
      </c>
      <c r="H93" s="41">
        <v>2500</v>
      </c>
      <c r="I93" s="41">
        <v>1500</v>
      </c>
    </row>
    <row r="94" spans="1:9" ht="18" customHeight="1" x14ac:dyDescent="0.3">
      <c r="A94" s="41" t="s">
        <v>46</v>
      </c>
      <c r="B94" s="41">
        <v>28000</v>
      </c>
      <c r="C94" s="41">
        <v>25000</v>
      </c>
      <c r="D94" s="46">
        <v>24500</v>
      </c>
      <c r="E94" s="46">
        <v>4500</v>
      </c>
      <c r="F94" s="46">
        <v>2000</v>
      </c>
      <c r="G94" s="41">
        <v>25000</v>
      </c>
      <c r="H94" s="41">
        <v>3250</v>
      </c>
      <c r="I94" s="41">
        <v>2250</v>
      </c>
    </row>
    <row r="95" spans="1:9" ht="18" customHeight="1" x14ac:dyDescent="0.3">
      <c r="A95" s="41" t="s">
        <v>48</v>
      </c>
      <c r="B95" s="41">
        <v>35000</v>
      </c>
      <c r="C95" s="41">
        <v>31000</v>
      </c>
      <c r="D95" s="46">
        <v>30250</v>
      </c>
      <c r="E95" s="46">
        <v>5200</v>
      </c>
      <c r="F95" s="46">
        <v>4250</v>
      </c>
      <c r="G95" s="41">
        <v>31000</v>
      </c>
      <c r="H95" s="41">
        <v>4000</v>
      </c>
      <c r="I95" s="41">
        <v>3000</v>
      </c>
    </row>
    <row r="96" spans="1:9" ht="18" customHeight="1" x14ac:dyDescent="0.3">
      <c r="A96" s="41" t="s">
        <v>54</v>
      </c>
      <c r="B96" s="41">
        <v>43900</v>
      </c>
      <c r="C96" s="41">
        <v>39500</v>
      </c>
      <c r="D96" s="46">
        <v>38500</v>
      </c>
      <c r="E96" s="46">
        <v>6500</v>
      </c>
      <c r="F96" s="46">
        <v>6000</v>
      </c>
      <c r="G96" s="41">
        <v>39500</v>
      </c>
      <c r="H96" s="41">
        <v>5000</v>
      </c>
      <c r="I96" s="41">
        <v>4500</v>
      </c>
    </row>
    <row r="97" spans="1:9" ht="18" customHeight="1" x14ac:dyDescent="0.3">
      <c r="A97" s="41" t="s">
        <v>55</v>
      </c>
      <c r="B97" s="41">
        <v>43900</v>
      </c>
      <c r="C97" s="41">
        <v>39500</v>
      </c>
      <c r="D97" s="46">
        <v>38500</v>
      </c>
      <c r="E97" s="46">
        <v>6500</v>
      </c>
      <c r="F97" s="46">
        <v>6000</v>
      </c>
      <c r="G97" s="41">
        <v>39500</v>
      </c>
      <c r="H97" s="41">
        <v>5000</v>
      </c>
      <c r="I97" s="41">
        <v>4500</v>
      </c>
    </row>
  </sheetData>
  <mergeCells count="8">
    <mergeCell ref="A90:I90"/>
    <mergeCell ref="A26:I26"/>
    <mergeCell ref="A38:I38"/>
    <mergeCell ref="A2:I2"/>
    <mergeCell ref="A14:I14"/>
    <mergeCell ref="A52:I52"/>
    <mergeCell ref="A64:I64"/>
    <mergeCell ref="A78:I78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06"/>
  <sheetViews>
    <sheetView tabSelected="1" zoomScale="110" workbookViewId="0">
      <selection activeCell="L39" sqref="L39"/>
    </sheetView>
  </sheetViews>
  <sheetFormatPr defaultColWidth="8.77734375" defaultRowHeight="14.4" x14ac:dyDescent="0.3"/>
  <cols>
    <col min="1" max="3" width="13.33203125" customWidth="1"/>
    <col min="4" max="4" width="15.109375" customWidth="1"/>
    <col min="5" max="9" width="13.33203125" customWidth="1"/>
  </cols>
  <sheetData>
    <row r="3" spans="1:12" ht="18" customHeight="1" x14ac:dyDescent="0.3">
      <c r="A3" s="73" t="s">
        <v>29</v>
      </c>
      <c r="B3" s="74"/>
      <c r="C3" s="74"/>
      <c r="D3" s="74"/>
      <c r="E3" s="74"/>
      <c r="F3" s="74"/>
      <c r="G3" s="74"/>
      <c r="H3" s="74"/>
      <c r="I3" s="74"/>
    </row>
    <row r="4" spans="1:12" ht="28.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44</v>
      </c>
      <c r="F4" s="1" t="s">
        <v>4</v>
      </c>
      <c r="G4" s="1" t="s">
        <v>5</v>
      </c>
      <c r="H4" s="1" t="s">
        <v>6</v>
      </c>
      <c r="I4" s="1" t="s">
        <v>7</v>
      </c>
    </row>
    <row r="5" spans="1:12" ht="18" customHeight="1" x14ac:dyDescent="0.3">
      <c r="A5" s="5" t="s">
        <v>12</v>
      </c>
      <c r="B5" s="5">
        <v>34500</v>
      </c>
      <c r="C5" s="5">
        <v>31000</v>
      </c>
      <c r="D5" s="5">
        <v>28400</v>
      </c>
      <c r="E5" s="5">
        <f>SUM(F5:I5)</f>
        <v>29500</v>
      </c>
      <c r="F5" s="5">
        <v>10400</v>
      </c>
      <c r="G5" s="5">
        <v>7300</v>
      </c>
      <c r="H5" s="5">
        <v>7300</v>
      </c>
      <c r="I5" s="5">
        <v>4500</v>
      </c>
    </row>
    <row r="6" spans="1:12" ht="18" customHeight="1" x14ac:dyDescent="0.3">
      <c r="A6" s="5" t="s">
        <v>20</v>
      </c>
      <c r="B6" s="5">
        <v>47500</v>
      </c>
      <c r="C6" s="5">
        <v>43000</v>
      </c>
      <c r="D6" s="5">
        <v>39400</v>
      </c>
      <c r="E6" s="5">
        <f t="shared" ref="E6:E10" si="0">SUM(F6:I6)</f>
        <v>40900</v>
      </c>
      <c r="F6" s="5">
        <v>14400</v>
      </c>
      <c r="G6" s="5">
        <v>10200</v>
      </c>
      <c r="H6" s="5">
        <v>10200</v>
      </c>
      <c r="I6" s="5">
        <v>6100</v>
      </c>
    </row>
    <row r="7" spans="1:12" ht="18" customHeight="1" x14ac:dyDescent="0.3">
      <c r="A7" s="5" t="s">
        <v>13</v>
      </c>
      <c r="B7" s="5">
        <v>34500</v>
      </c>
      <c r="C7" s="5">
        <v>31000</v>
      </c>
      <c r="D7" s="5">
        <v>28400</v>
      </c>
      <c r="E7" s="5">
        <f t="shared" si="0"/>
        <v>29500</v>
      </c>
      <c r="F7" s="5">
        <v>10400</v>
      </c>
      <c r="G7" s="5">
        <v>7300</v>
      </c>
      <c r="H7" s="5">
        <v>7300</v>
      </c>
      <c r="I7" s="5">
        <v>4500</v>
      </c>
    </row>
    <row r="8" spans="1:12" ht="18" customHeight="1" x14ac:dyDescent="0.3">
      <c r="A8" s="5" t="s">
        <v>21</v>
      </c>
      <c r="B8" s="5">
        <v>47500</v>
      </c>
      <c r="C8" s="5">
        <v>43000</v>
      </c>
      <c r="D8" s="5">
        <v>39400</v>
      </c>
      <c r="E8" s="5">
        <f t="shared" si="0"/>
        <v>40900</v>
      </c>
      <c r="F8" s="5">
        <v>14400</v>
      </c>
      <c r="G8" s="5">
        <v>10200</v>
      </c>
      <c r="H8" s="5">
        <v>10200</v>
      </c>
      <c r="I8" s="5">
        <v>6100</v>
      </c>
      <c r="L8" s="42"/>
    </row>
    <row r="9" spans="1:12" ht="18" customHeight="1" x14ac:dyDescent="0.3">
      <c r="A9" s="5" t="s">
        <v>27</v>
      </c>
      <c r="B9" s="5">
        <v>61000</v>
      </c>
      <c r="C9" s="5">
        <v>55000</v>
      </c>
      <c r="D9" s="5">
        <v>50400</v>
      </c>
      <c r="E9" s="5">
        <f t="shared" si="0"/>
        <v>52300</v>
      </c>
      <c r="F9" s="5">
        <v>18500</v>
      </c>
      <c r="G9" s="5">
        <v>13000</v>
      </c>
      <c r="H9" s="5">
        <v>13000</v>
      </c>
      <c r="I9" s="5">
        <v>7800</v>
      </c>
      <c r="L9" s="42"/>
    </row>
    <row r="10" spans="1:12" ht="18" customHeight="1" x14ac:dyDescent="0.3">
      <c r="A10" s="5" t="s">
        <v>15</v>
      </c>
      <c r="B10" s="5">
        <v>61000</v>
      </c>
      <c r="C10" s="5">
        <v>55000</v>
      </c>
      <c r="D10" s="5">
        <v>50400</v>
      </c>
      <c r="E10" s="5">
        <f t="shared" si="0"/>
        <v>52300</v>
      </c>
      <c r="F10" s="5">
        <v>18500</v>
      </c>
      <c r="G10" s="5">
        <v>13000</v>
      </c>
      <c r="H10" s="5">
        <v>13000</v>
      </c>
      <c r="I10" s="5">
        <v>7800</v>
      </c>
      <c r="L10" s="42"/>
    </row>
    <row r="11" spans="1:12" ht="18" customHeight="1" x14ac:dyDescent="0.3">
      <c r="A11" s="61" t="s">
        <v>62</v>
      </c>
      <c r="B11" s="61">
        <v>19800</v>
      </c>
      <c r="C11" s="61">
        <f>1400*12+1000</f>
        <v>17800</v>
      </c>
      <c r="D11" s="61">
        <f>C11-1400</f>
        <v>16400</v>
      </c>
      <c r="E11" s="61">
        <v>16900</v>
      </c>
      <c r="F11" s="61">
        <v>5900</v>
      </c>
      <c r="G11" s="61">
        <v>4000</v>
      </c>
      <c r="H11" s="61">
        <v>4000</v>
      </c>
      <c r="I11" s="61">
        <v>3000</v>
      </c>
      <c r="L11" s="42"/>
    </row>
    <row r="12" spans="1:12" ht="18" customHeight="1" x14ac:dyDescent="0.3">
      <c r="A12" s="6"/>
      <c r="B12" s="6"/>
      <c r="C12" s="6"/>
      <c r="D12" s="6"/>
      <c r="E12" s="6"/>
      <c r="F12" s="6"/>
      <c r="G12" s="6"/>
      <c r="H12" s="6"/>
      <c r="I12" s="6"/>
    </row>
    <row r="13" spans="1:12" ht="18" customHeight="1" x14ac:dyDescent="0.3">
      <c r="A13" s="6"/>
      <c r="B13" s="6"/>
      <c r="C13" s="6"/>
      <c r="D13" s="6"/>
      <c r="E13" s="6"/>
      <c r="F13" s="6"/>
      <c r="G13" s="6"/>
      <c r="H13" s="6"/>
      <c r="I13" s="6"/>
    </row>
    <row r="14" spans="1:12" ht="18" customHeight="1" x14ac:dyDescent="0.3">
      <c r="A14" s="6"/>
      <c r="B14" s="6"/>
      <c r="C14" s="6"/>
      <c r="D14" s="6"/>
      <c r="E14" s="6"/>
      <c r="F14" s="6"/>
      <c r="G14" s="6"/>
      <c r="H14" s="6"/>
      <c r="I14" s="6"/>
    </row>
    <row r="15" spans="1:12" ht="18" customHeight="1" x14ac:dyDescent="0.3">
      <c r="A15" s="77" t="s">
        <v>29</v>
      </c>
      <c r="B15" s="78"/>
      <c r="C15" s="79"/>
      <c r="D15" s="79"/>
      <c r="E15" s="79"/>
      <c r="F15" s="79"/>
      <c r="G15" s="79"/>
      <c r="H15" s="79"/>
      <c r="I15" s="79"/>
    </row>
    <row r="16" spans="1:12" ht="55.2" x14ac:dyDescent="0.3">
      <c r="A16" s="28" t="s">
        <v>0</v>
      </c>
      <c r="B16" s="28" t="s">
        <v>1</v>
      </c>
      <c r="C16" s="28" t="s">
        <v>8</v>
      </c>
      <c r="D16" s="34" t="s">
        <v>42</v>
      </c>
      <c r="E16" s="34" t="s">
        <v>37</v>
      </c>
      <c r="F16" s="34" t="s">
        <v>38</v>
      </c>
      <c r="G16" s="28" t="s">
        <v>41</v>
      </c>
      <c r="H16" s="28" t="s">
        <v>39</v>
      </c>
      <c r="I16" s="28" t="s">
        <v>40</v>
      </c>
    </row>
    <row r="17" spans="1:9" ht="18" customHeight="1" x14ac:dyDescent="0.3">
      <c r="A17" s="33" t="s">
        <v>12</v>
      </c>
      <c r="B17" s="5">
        <v>34500</v>
      </c>
      <c r="C17" s="29">
        <v>31000</v>
      </c>
      <c r="D17" s="35">
        <v>30200</v>
      </c>
      <c r="E17" s="35">
        <v>5300</v>
      </c>
      <c r="F17" s="35">
        <v>3700</v>
      </c>
      <c r="G17" s="29">
        <v>31000</v>
      </c>
      <c r="H17" s="29">
        <v>4100</v>
      </c>
      <c r="I17" s="29">
        <v>2300</v>
      </c>
    </row>
    <row r="18" spans="1:9" ht="18" customHeight="1" x14ac:dyDescent="0.3">
      <c r="A18" s="33" t="s">
        <v>20</v>
      </c>
      <c r="B18" s="5">
        <v>47500</v>
      </c>
      <c r="C18" s="29">
        <v>43000</v>
      </c>
      <c r="D18" s="35">
        <v>41900</v>
      </c>
      <c r="E18" s="35">
        <v>7300</v>
      </c>
      <c r="F18" s="35">
        <v>5400</v>
      </c>
      <c r="G18" s="29">
        <v>43000</v>
      </c>
      <c r="H18" s="29">
        <v>5700</v>
      </c>
      <c r="I18" s="29">
        <v>3100</v>
      </c>
    </row>
    <row r="19" spans="1:9" ht="18" customHeight="1" x14ac:dyDescent="0.3">
      <c r="A19" s="33" t="s">
        <v>13</v>
      </c>
      <c r="B19" s="5">
        <v>34500</v>
      </c>
      <c r="C19" s="29">
        <v>31000</v>
      </c>
      <c r="D19" s="35">
        <v>30200</v>
      </c>
      <c r="E19" s="35">
        <v>5300</v>
      </c>
      <c r="F19" s="35">
        <v>3700</v>
      </c>
      <c r="G19" s="29">
        <v>31000</v>
      </c>
      <c r="H19" s="29">
        <v>4100</v>
      </c>
      <c r="I19" s="29">
        <v>2300</v>
      </c>
    </row>
    <row r="20" spans="1:9" ht="18" customHeight="1" x14ac:dyDescent="0.3">
      <c r="A20" s="33" t="s">
        <v>21</v>
      </c>
      <c r="B20" s="5">
        <v>47500</v>
      </c>
      <c r="C20" s="29">
        <v>43000</v>
      </c>
      <c r="D20" s="35">
        <v>41900</v>
      </c>
      <c r="E20" s="35">
        <v>7300</v>
      </c>
      <c r="F20" s="35">
        <v>5400</v>
      </c>
      <c r="G20" s="29">
        <v>43000</v>
      </c>
      <c r="H20" s="29">
        <v>5700</v>
      </c>
      <c r="I20" s="29">
        <v>3100</v>
      </c>
    </row>
    <row r="21" spans="1:9" ht="18" customHeight="1" x14ac:dyDescent="0.3">
      <c r="A21" s="33" t="s">
        <v>14</v>
      </c>
      <c r="B21" s="5">
        <v>61000</v>
      </c>
      <c r="C21" s="29">
        <v>55000</v>
      </c>
      <c r="D21" s="35">
        <v>53600</v>
      </c>
      <c r="E21" s="35">
        <v>9300</v>
      </c>
      <c r="F21" s="35">
        <v>7100</v>
      </c>
      <c r="G21" s="29">
        <v>55000</v>
      </c>
      <c r="H21" s="29">
        <v>7300</v>
      </c>
      <c r="I21" s="29">
        <v>3900</v>
      </c>
    </row>
    <row r="22" spans="1:9" ht="18" customHeight="1" x14ac:dyDescent="0.3">
      <c r="A22" s="33" t="s">
        <v>15</v>
      </c>
      <c r="B22" s="5">
        <v>61000</v>
      </c>
      <c r="C22" s="29">
        <v>55000</v>
      </c>
      <c r="D22" s="35">
        <v>53600</v>
      </c>
      <c r="E22" s="35">
        <v>9300</v>
      </c>
      <c r="F22" s="35">
        <v>7100</v>
      </c>
      <c r="G22" s="29">
        <v>55000</v>
      </c>
      <c r="H22" s="29">
        <v>7300</v>
      </c>
      <c r="I22" s="29">
        <v>3900</v>
      </c>
    </row>
    <row r="23" spans="1:9" ht="18" customHeight="1" x14ac:dyDescent="0.3">
      <c r="A23" s="61" t="s">
        <v>62</v>
      </c>
      <c r="B23" s="61">
        <v>19800</v>
      </c>
      <c r="C23" s="61">
        <f>1400*12+1000</f>
        <v>17800</v>
      </c>
      <c r="D23" s="61">
        <v>17400</v>
      </c>
      <c r="E23" s="61">
        <v>3000</v>
      </c>
      <c r="F23" s="61">
        <v>2400</v>
      </c>
      <c r="G23" s="61">
        <f>C23</f>
        <v>17800</v>
      </c>
      <c r="H23" s="61">
        <v>2300</v>
      </c>
      <c r="I23" s="61">
        <v>1700</v>
      </c>
    </row>
    <row r="24" spans="1:9" ht="18" customHeight="1" x14ac:dyDescent="0.3">
      <c r="A24" s="6"/>
      <c r="B24" s="6"/>
      <c r="C24" s="6"/>
      <c r="D24" s="6"/>
      <c r="E24" s="6"/>
      <c r="F24" s="6"/>
      <c r="G24" s="6"/>
      <c r="H24" s="6"/>
      <c r="I24" s="6"/>
    </row>
    <row r="25" spans="1:9" ht="18" customHeight="1" x14ac:dyDescent="0.3">
      <c r="A25" s="6"/>
      <c r="B25" s="6"/>
      <c r="C25" s="6"/>
      <c r="D25" s="6"/>
      <c r="E25" s="6"/>
      <c r="F25" s="6"/>
      <c r="G25" s="6"/>
      <c r="H25" s="6"/>
      <c r="I25" s="6"/>
    </row>
    <row r="26" spans="1:9" ht="18" customHeight="1" x14ac:dyDescent="0.3">
      <c r="A26" s="6"/>
      <c r="B26" s="6"/>
      <c r="C26" s="6"/>
      <c r="D26" s="6"/>
      <c r="E26" s="6"/>
      <c r="F26" s="6"/>
      <c r="G26" s="6"/>
      <c r="H26" s="6"/>
      <c r="I26" s="6"/>
    </row>
    <row r="27" spans="1:9" ht="18" customHeight="1" x14ac:dyDescent="0.3">
      <c r="A27" s="6"/>
      <c r="B27" s="6"/>
      <c r="C27" s="6"/>
      <c r="D27" s="6"/>
      <c r="E27" s="6"/>
      <c r="F27" s="6"/>
      <c r="G27" s="6"/>
      <c r="H27" s="6"/>
      <c r="I27" s="6"/>
    </row>
    <row r="28" spans="1:9" ht="18" customHeight="1" x14ac:dyDescent="0.3">
      <c r="A28" s="6"/>
      <c r="B28" s="6"/>
      <c r="C28" s="6"/>
      <c r="D28" s="6"/>
      <c r="E28" s="6"/>
      <c r="F28" s="6"/>
      <c r="G28" s="6"/>
      <c r="H28" s="6"/>
      <c r="I28" s="6"/>
    </row>
    <row r="29" spans="1:9" ht="18" customHeight="1" x14ac:dyDescent="0.3">
      <c r="A29" s="6"/>
      <c r="B29" s="6"/>
      <c r="C29" s="6"/>
      <c r="D29" s="6"/>
      <c r="E29" s="6"/>
      <c r="F29" s="6"/>
      <c r="G29" s="6"/>
      <c r="H29" s="6"/>
      <c r="I29" s="6"/>
    </row>
    <row r="30" spans="1:9" ht="18" customHeight="1" x14ac:dyDescent="0.3">
      <c r="A30" s="6"/>
      <c r="B30" s="6"/>
      <c r="C30" s="6"/>
      <c r="D30" s="6"/>
      <c r="E30" s="6"/>
      <c r="F30" s="6"/>
      <c r="G30" s="6"/>
      <c r="H30" s="6"/>
      <c r="I30" s="6"/>
    </row>
    <row r="31" spans="1:9" ht="18" customHeight="1" x14ac:dyDescent="0.3">
      <c r="A31" s="70" t="s">
        <v>30</v>
      </c>
      <c r="B31" s="71"/>
      <c r="C31" s="71"/>
      <c r="D31" s="71"/>
      <c r="E31" s="71"/>
      <c r="F31" s="71"/>
      <c r="G31" s="71"/>
      <c r="H31" s="71"/>
      <c r="I31" s="72"/>
    </row>
    <row r="32" spans="1:9" ht="28.8" x14ac:dyDescent="0.3">
      <c r="A32" s="3" t="s">
        <v>0</v>
      </c>
      <c r="B32" s="3" t="s">
        <v>1</v>
      </c>
      <c r="C32" s="3" t="s">
        <v>2</v>
      </c>
      <c r="D32" s="3" t="s">
        <v>3</v>
      </c>
      <c r="E32" s="3" t="s">
        <v>44</v>
      </c>
      <c r="F32" s="3" t="s">
        <v>4</v>
      </c>
      <c r="G32" s="3" t="s">
        <v>5</v>
      </c>
      <c r="H32" s="3" t="s">
        <v>6</v>
      </c>
      <c r="I32" s="3" t="s">
        <v>7</v>
      </c>
    </row>
    <row r="33" spans="1:12" ht="18" customHeight="1" x14ac:dyDescent="0.3">
      <c r="A33" s="4" t="s">
        <v>12</v>
      </c>
      <c r="B33" s="4">
        <v>47500</v>
      </c>
      <c r="C33" s="4">
        <v>43000</v>
      </c>
      <c r="D33" s="4">
        <v>39400</v>
      </c>
      <c r="E33" s="4">
        <f>SUM(F33:I33)</f>
        <v>40800</v>
      </c>
      <c r="F33" s="4">
        <v>14300</v>
      </c>
      <c r="G33" s="4">
        <v>10200</v>
      </c>
      <c r="H33" s="4">
        <v>10200</v>
      </c>
      <c r="I33" s="4">
        <v>6100</v>
      </c>
    </row>
    <row r="34" spans="1:12" ht="18" customHeight="1" x14ac:dyDescent="0.3">
      <c r="A34" s="4" t="s">
        <v>20</v>
      </c>
      <c r="B34" s="4">
        <v>61000</v>
      </c>
      <c r="C34" s="4">
        <v>55000</v>
      </c>
      <c r="D34" s="4">
        <v>50400</v>
      </c>
      <c r="E34" s="4">
        <f t="shared" ref="E34:E38" si="1">SUM(F34:I34)</f>
        <v>52200</v>
      </c>
      <c r="F34" s="4">
        <v>18400</v>
      </c>
      <c r="G34" s="4">
        <v>13000</v>
      </c>
      <c r="H34" s="4">
        <v>13000</v>
      </c>
      <c r="I34" s="4">
        <v>7800</v>
      </c>
    </row>
    <row r="35" spans="1:12" ht="18" customHeight="1" x14ac:dyDescent="0.3">
      <c r="A35" s="4" t="s">
        <v>13</v>
      </c>
      <c r="B35" s="4">
        <v>47500</v>
      </c>
      <c r="C35" s="4">
        <v>43000</v>
      </c>
      <c r="D35" s="4">
        <v>39400</v>
      </c>
      <c r="E35" s="4">
        <f t="shared" si="1"/>
        <v>40800</v>
      </c>
      <c r="F35" s="4">
        <v>14300</v>
      </c>
      <c r="G35" s="4">
        <v>10200</v>
      </c>
      <c r="H35" s="4">
        <v>10200</v>
      </c>
      <c r="I35" s="4">
        <v>6100</v>
      </c>
    </row>
    <row r="36" spans="1:12" ht="18" customHeight="1" x14ac:dyDescent="0.3">
      <c r="A36" s="4" t="s">
        <v>21</v>
      </c>
      <c r="B36" s="4">
        <v>61000</v>
      </c>
      <c r="C36" s="4">
        <v>55000</v>
      </c>
      <c r="D36" s="4">
        <v>50400</v>
      </c>
      <c r="E36" s="4">
        <f t="shared" si="1"/>
        <v>52200</v>
      </c>
      <c r="F36" s="4">
        <v>18400</v>
      </c>
      <c r="G36" s="4">
        <v>13000</v>
      </c>
      <c r="H36" s="4">
        <v>13000</v>
      </c>
      <c r="I36" s="4">
        <v>7800</v>
      </c>
      <c r="L36" s="42"/>
    </row>
    <row r="37" spans="1:12" ht="18" customHeight="1" x14ac:dyDescent="0.3">
      <c r="A37" s="8" t="s">
        <v>27</v>
      </c>
      <c r="B37" s="7">
        <v>74500</v>
      </c>
      <c r="C37" s="7">
        <v>67000</v>
      </c>
      <c r="D37" s="7">
        <v>61400</v>
      </c>
      <c r="E37" s="4">
        <f t="shared" si="1"/>
        <v>63600</v>
      </c>
      <c r="F37" s="7">
        <v>22300</v>
      </c>
      <c r="G37" s="7">
        <v>15900</v>
      </c>
      <c r="H37" s="7">
        <v>15900</v>
      </c>
      <c r="I37" s="7">
        <v>9500</v>
      </c>
      <c r="L37" s="42"/>
    </row>
    <row r="38" spans="1:12" ht="18" customHeight="1" x14ac:dyDescent="0.3">
      <c r="A38" s="8" t="s">
        <v>15</v>
      </c>
      <c r="B38" s="7">
        <v>74500</v>
      </c>
      <c r="C38" s="7">
        <v>67000</v>
      </c>
      <c r="D38" s="7">
        <v>61400</v>
      </c>
      <c r="E38" s="4">
        <f t="shared" si="1"/>
        <v>63600</v>
      </c>
      <c r="F38" s="7">
        <v>22300</v>
      </c>
      <c r="G38" s="7">
        <v>15900</v>
      </c>
      <c r="H38" s="7">
        <v>15900</v>
      </c>
      <c r="I38" s="7">
        <v>9500</v>
      </c>
      <c r="L38" s="42"/>
    </row>
    <row r="39" spans="1:12" ht="18" customHeight="1" x14ac:dyDescent="0.3">
      <c r="A39" s="62" t="s">
        <v>62</v>
      </c>
      <c r="B39" s="62">
        <v>25100</v>
      </c>
      <c r="C39" s="62">
        <f>1800*12+1000</f>
        <v>22600</v>
      </c>
      <c r="D39" s="62">
        <f>C39-1800</f>
        <v>20800</v>
      </c>
      <c r="E39" s="62">
        <v>21500</v>
      </c>
      <c r="F39" s="62">
        <v>7500</v>
      </c>
      <c r="G39" s="62">
        <v>5500</v>
      </c>
      <c r="H39" s="62">
        <v>5500</v>
      </c>
      <c r="I39" s="62">
        <v>3000</v>
      </c>
      <c r="L39" s="42"/>
    </row>
    <row r="40" spans="1:12" ht="18" customHeight="1" x14ac:dyDescent="0.3"/>
    <row r="41" spans="1:12" ht="18" customHeight="1" x14ac:dyDescent="0.3"/>
    <row r="42" spans="1:12" ht="18" customHeight="1" x14ac:dyDescent="0.3"/>
    <row r="43" spans="1:12" ht="18" customHeight="1" x14ac:dyDescent="0.3"/>
    <row r="44" spans="1:12" ht="18" customHeight="1" x14ac:dyDescent="0.3">
      <c r="A44" s="80" t="s">
        <v>30</v>
      </c>
      <c r="B44" s="81"/>
      <c r="C44" s="82"/>
      <c r="D44" s="82"/>
      <c r="E44" s="82"/>
      <c r="F44" s="82"/>
      <c r="G44" s="82"/>
      <c r="H44" s="82"/>
      <c r="I44" s="82"/>
    </row>
    <row r="45" spans="1:12" ht="55.2" x14ac:dyDescent="0.3">
      <c r="A45" s="30" t="s">
        <v>0</v>
      </c>
      <c r="B45" s="30" t="s">
        <v>1</v>
      </c>
      <c r="C45" s="30" t="s">
        <v>8</v>
      </c>
      <c r="D45" s="25" t="s">
        <v>42</v>
      </c>
      <c r="E45" s="25" t="s">
        <v>37</v>
      </c>
      <c r="F45" s="25" t="s">
        <v>38</v>
      </c>
      <c r="G45" s="30" t="s">
        <v>41</v>
      </c>
      <c r="H45" s="30" t="s">
        <v>39</v>
      </c>
      <c r="I45" s="30" t="s">
        <v>40</v>
      </c>
    </row>
    <row r="46" spans="1:12" ht="18" customHeight="1" x14ac:dyDescent="0.3">
      <c r="A46" s="31" t="s">
        <v>12</v>
      </c>
      <c r="B46" s="4">
        <v>47500</v>
      </c>
      <c r="C46" s="32">
        <v>43000</v>
      </c>
      <c r="D46" s="38">
        <v>41900</v>
      </c>
      <c r="E46" s="38">
        <v>7300</v>
      </c>
      <c r="F46" s="38">
        <v>5400</v>
      </c>
      <c r="G46" s="32">
        <v>43000</v>
      </c>
      <c r="H46" s="32">
        <v>5700</v>
      </c>
      <c r="I46" s="32">
        <v>3100</v>
      </c>
    </row>
    <row r="47" spans="1:12" ht="18" customHeight="1" x14ac:dyDescent="0.3">
      <c r="A47" s="31" t="s">
        <v>20</v>
      </c>
      <c r="B47" s="4">
        <v>61000</v>
      </c>
      <c r="C47" s="32">
        <v>55000</v>
      </c>
      <c r="D47" s="38">
        <v>53600</v>
      </c>
      <c r="E47" s="38">
        <v>9300</v>
      </c>
      <c r="F47" s="38">
        <v>7100</v>
      </c>
      <c r="G47" s="32">
        <v>55000</v>
      </c>
      <c r="H47" s="32">
        <v>7300</v>
      </c>
      <c r="I47" s="32">
        <v>3900</v>
      </c>
    </row>
    <row r="48" spans="1:12" ht="18" customHeight="1" x14ac:dyDescent="0.3">
      <c r="A48" s="31" t="s">
        <v>13</v>
      </c>
      <c r="B48" s="4">
        <v>47500</v>
      </c>
      <c r="C48" s="32">
        <v>43000</v>
      </c>
      <c r="D48" s="38">
        <v>41900</v>
      </c>
      <c r="E48" s="38">
        <v>7300</v>
      </c>
      <c r="F48" s="38">
        <v>5400</v>
      </c>
      <c r="G48" s="32">
        <v>43000</v>
      </c>
      <c r="H48" s="32">
        <v>5700</v>
      </c>
      <c r="I48" s="32">
        <v>3100</v>
      </c>
    </row>
    <row r="49" spans="1:9" ht="18" customHeight="1" x14ac:dyDescent="0.3">
      <c r="A49" s="31" t="s">
        <v>21</v>
      </c>
      <c r="B49" s="4">
        <v>61000</v>
      </c>
      <c r="C49" s="32">
        <v>55000</v>
      </c>
      <c r="D49" s="38">
        <v>53600</v>
      </c>
      <c r="E49" s="38">
        <v>9300</v>
      </c>
      <c r="F49" s="38">
        <v>7100</v>
      </c>
      <c r="G49" s="32">
        <v>55000</v>
      </c>
      <c r="H49" s="32">
        <v>7300</v>
      </c>
      <c r="I49" s="32">
        <v>3900</v>
      </c>
    </row>
    <row r="50" spans="1:9" ht="18" customHeight="1" x14ac:dyDescent="0.3">
      <c r="A50" s="31" t="s">
        <v>14</v>
      </c>
      <c r="B50" s="7">
        <v>74500</v>
      </c>
      <c r="C50" s="32">
        <v>67000</v>
      </c>
      <c r="D50" s="38">
        <v>65300</v>
      </c>
      <c r="E50" s="38">
        <v>11400</v>
      </c>
      <c r="F50" s="38">
        <v>8300</v>
      </c>
      <c r="G50" s="32">
        <v>67000</v>
      </c>
      <c r="H50" s="32">
        <v>8900</v>
      </c>
      <c r="I50" s="32">
        <v>4700</v>
      </c>
    </row>
    <row r="51" spans="1:9" ht="18" customHeight="1" x14ac:dyDescent="0.3">
      <c r="A51" s="31" t="s">
        <v>15</v>
      </c>
      <c r="B51" s="7">
        <v>74500</v>
      </c>
      <c r="C51" s="32">
        <v>67000</v>
      </c>
      <c r="D51" s="38">
        <v>65300</v>
      </c>
      <c r="E51" s="38">
        <v>11400</v>
      </c>
      <c r="F51" s="38">
        <v>8300</v>
      </c>
      <c r="G51" s="32">
        <v>67000</v>
      </c>
      <c r="H51" s="32">
        <v>8900</v>
      </c>
      <c r="I51" s="32">
        <v>4700</v>
      </c>
    </row>
    <row r="52" spans="1:9" ht="18" customHeight="1" x14ac:dyDescent="0.3">
      <c r="A52" s="62" t="s">
        <v>62</v>
      </c>
      <c r="B52" s="62">
        <v>25100</v>
      </c>
      <c r="C52" s="62">
        <f>1800*12+1000</f>
        <v>22600</v>
      </c>
      <c r="D52" s="62">
        <v>22000</v>
      </c>
      <c r="E52" s="62">
        <v>3900</v>
      </c>
      <c r="F52" s="62">
        <v>2500</v>
      </c>
      <c r="G52" s="62">
        <v>22600</v>
      </c>
      <c r="H52" s="62">
        <v>3000</v>
      </c>
      <c r="I52" s="62">
        <v>1600</v>
      </c>
    </row>
    <row r="53" spans="1:9" ht="18" customHeight="1" x14ac:dyDescent="0.3"/>
    <row r="54" spans="1:9" ht="18" customHeight="1" x14ac:dyDescent="0.3"/>
    <row r="55" spans="1:9" ht="18" customHeight="1" x14ac:dyDescent="0.3"/>
    <row r="56" spans="1:9" ht="18" customHeight="1" x14ac:dyDescent="0.3"/>
    <row r="57" spans="1:9" ht="18" customHeight="1" x14ac:dyDescent="0.3"/>
    <row r="58" spans="1:9" ht="18" customHeight="1" x14ac:dyDescent="0.3"/>
    <row r="59" spans="1:9" ht="18" customHeight="1" x14ac:dyDescent="0.3">
      <c r="A59" s="83" t="s">
        <v>59</v>
      </c>
      <c r="B59" s="84"/>
      <c r="C59" s="84"/>
      <c r="D59" s="84"/>
      <c r="E59" s="84"/>
      <c r="F59" s="84"/>
      <c r="G59" s="84"/>
      <c r="H59" s="84"/>
      <c r="I59" s="85"/>
    </row>
    <row r="60" spans="1:9" ht="27.6" x14ac:dyDescent="0.3">
      <c r="A60" s="43" t="s">
        <v>49</v>
      </c>
      <c r="B60" s="43" t="s">
        <v>1</v>
      </c>
      <c r="C60" s="43" t="s">
        <v>2</v>
      </c>
      <c r="D60" s="43" t="s">
        <v>3</v>
      </c>
      <c r="E60" s="43" t="s">
        <v>44</v>
      </c>
      <c r="F60" s="43" t="s">
        <v>4</v>
      </c>
      <c r="G60" s="43" t="s">
        <v>5</v>
      </c>
      <c r="H60" s="43" t="s">
        <v>6</v>
      </c>
      <c r="I60" s="43" t="s">
        <v>7</v>
      </c>
    </row>
    <row r="61" spans="1:9" ht="18" customHeight="1" x14ac:dyDescent="0.3">
      <c r="A61" s="39" t="s">
        <v>45</v>
      </c>
      <c r="B61" s="39">
        <v>24400</v>
      </c>
      <c r="C61" s="39">
        <v>22000</v>
      </c>
      <c r="D61" s="39">
        <v>20250</v>
      </c>
      <c r="E61" s="39">
        <v>20900</v>
      </c>
      <c r="F61" s="39">
        <v>7500</v>
      </c>
      <c r="G61" s="39">
        <v>5200</v>
      </c>
      <c r="H61" s="39">
        <v>5200</v>
      </c>
      <c r="I61" s="39">
        <v>3000</v>
      </c>
    </row>
    <row r="62" spans="1:9" ht="18" customHeight="1" x14ac:dyDescent="0.3">
      <c r="A62" s="39" t="s">
        <v>47</v>
      </c>
      <c r="B62" s="39">
        <v>24400</v>
      </c>
      <c r="C62" s="39">
        <v>22000</v>
      </c>
      <c r="D62" s="39">
        <v>20250</v>
      </c>
      <c r="E62" s="39">
        <v>20900</v>
      </c>
      <c r="F62" s="39">
        <v>7500</v>
      </c>
      <c r="G62" s="39">
        <v>5200</v>
      </c>
      <c r="H62" s="39">
        <v>5200</v>
      </c>
      <c r="I62" s="39">
        <v>3000</v>
      </c>
    </row>
    <row r="63" spans="1:9" ht="18" customHeight="1" x14ac:dyDescent="0.3">
      <c r="A63" s="39" t="s">
        <v>46</v>
      </c>
      <c r="B63" s="39">
        <v>27800</v>
      </c>
      <c r="C63" s="39">
        <v>25000</v>
      </c>
      <c r="D63" s="39">
        <v>23000</v>
      </c>
      <c r="E63" s="39">
        <v>23800</v>
      </c>
      <c r="F63" s="39">
        <v>8300</v>
      </c>
      <c r="G63" s="39">
        <v>6000</v>
      </c>
      <c r="H63" s="39">
        <v>6000</v>
      </c>
      <c r="I63" s="39">
        <v>3500</v>
      </c>
    </row>
    <row r="64" spans="1:9" ht="18" customHeight="1" x14ac:dyDescent="0.3">
      <c r="A64" s="39" t="s">
        <v>48</v>
      </c>
      <c r="B64" s="39">
        <v>43800</v>
      </c>
      <c r="C64" s="39">
        <v>39400</v>
      </c>
      <c r="D64" s="39">
        <v>36200</v>
      </c>
      <c r="E64" s="39">
        <v>37400</v>
      </c>
      <c r="F64" s="39">
        <v>13000</v>
      </c>
      <c r="G64" s="39">
        <v>9400</v>
      </c>
      <c r="H64" s="39">
        <v>9400</v>
      </c>
      <c r="I64" s="39">
        <v>5600</v>
      </c>
    </row>
    <row r="65" spans="1:9" ht="18" customHeight="1" x14ac:dyDescent="0.3">
      <c r="A65" s="39" t="s">
        <v>54</v>
      </c>
      <c r="B65" s="39">
        <v>46400</v>
      </c>
      <c r="C65" s="39">
        <v>41800</v>
      </c>
      <c r="D65" s="39">
        <v>38400</v>
      </c>
      <c r="E65" s="39">
        <v>39700</v>
      </c>
      <c r="F65" s="39">
        <v>13900</v>
      </c>
      <c r="G65" s="39">
        <v>9900</v>
      </c>
      <c r="H65" s="39">
        <v>9900</v>
      </c>
      <c r="I65" s="39">
        <v>6000</v>
      </c>
    </row>
    <row r="66" spans="1:9" ht="18" customHeight="1" x14ac:dyDescent="0.3">
      <c r="A66" s="39" t="s">
        <v>53</v>
      </c>
      <c r="B66" s="39">
        <v>46400</v>
      </c>
      <c r="C66" s="39">
        <v>41800</v>
      </c>
      <c r="D66" s="39">
        <v>38400</v>
      </c>
      <c r="E66" s="39">
        <v>39700</v>
      </c>
      <c r="F66" s="39">
        <v>13900</v>
      </c>
      <c r="G66" s="39">
        <v>9900</v>
      </c>
      <c r="H66" s="39">
        <v>9900</v>
      </c>
      <c r="I66" s="39">
        <v>6000</v>
      </c>
    </row>
    <row r="67" spans="1:9" ht="18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</row>
    <row r="68" spans="1:9" ht="18" customHeight="1" x14ac:dyDescent="0.3">
      <c r="A68" s="27"/>
      <c r="B68" s="27"/>
      <c r="C68" s="27"/>
      <c r="D68" s="27"/>
      <c r="E68" s="27"/>
      <c r="F68" s="27"/>
      <c r="G68" s="27"/>
      <c r="H68" s="27"/>
      <c r="I68" s="27"/>
    </row>
    <row r="69" spans="1:9" ht="18" customHeight="1" x14ac:dyDescent="0.3">
      <c r="A69" s="27"/>
      <c r="B69" s="27"/>
      <c r="C69" s="27"/>
      <c r="D69" s="27"/>
      <c r="E69" s="27"/>
      <c r="F69" s="27"/>
      <c r="G69" s="27"/>
      <c r="H69" s="27"/>
      <c r="I69" s="27"/>
    </row>
    <row r="70" spans="1:9" ht="18" customHeight="1" x14ac:dyDescent="0.3">
      <c r="A70" s="27"/>
      <c r="B70" s="27"/>
      <c r="C70" s="27"/>
      <c r="D70" s="27"/>
      <c r="E70" s="27"/>
      <c r="F70" s="27"/>
      <c r="G70" s="27"/>
      <c r="H70" s="27"/>
      <c r="I70" s="27"/>
    </row>
    <row r="71" spans="1:9" ht="18" customHeight="1" x14ac:dyDescent="0.3">
      <c r="A71" s="83" t="s">
        <v>59</v>
      </c>
      <c r="B71" s="84"/>
      <c r="C71" s="84"/>
      <c r="D71" s="84"/>
      <c r="E71" s="84"/>
      <c r="F71" s="84"/>
      <c r="G71" s="84"/>
      <c r="H71" s="84"/>
      <c r="I71" s="85"/>
    </row>
    <row r="72" spans="1:9" ht="55.2" x14ac:dyDescent="0.3">
      <c r="A72" s="28" t="s">
        <v>49</v>
      </c>
      <c r="B72" s="28" t="s">
        <v>1</v>
      </c>
      <c r="C72" s="28" t="s">
        <v>8</v>
      </c>
      <c r="D72" s="34" t="s">
        <v>42</v>
      </c>
      <c r="E72" s="34" t="s">
        <v>37</v>
      </c>
      <c r="F72" s="34" t="s">
        <v>38</v>
      </c>
      <c r="G72" s="28" t="s">
        <v>41</v>
      </c>
      <c r="H72" s="28" t="s">
        <v>39</v>
      </c>
      <c r="I72" s="28" t="s">
        <v>40</v>
      </c>
    </row>
    <row r="73" spans="1:9" ht="18" customHeight="1" x14ac:dyDescent="0.3">
      <c r="A73" s="39" t="s">
        <v>45</v>
      </c>
      <c r="B73" s="39">
        <v>24400</v>
      </c>
      <c r="C73" s="39">
        <v>22000</v>
      </c>
      <c r="D73" s="39">
        <v>21500</v>
      </c>
      <c r="E73" s="39">
        <v>3600</v>
      </c>
      <c r="F73" s="39">
        <v>3500</v>
      </c>
      <c r="G73" s="39">
        <v>22000</v>
      </c>
      <c r="H73" s="39">
        <v>2800</v>
      </c>
      <c r="I73" s="39">
        <v>2400</v>
      </c>
    </row>
    <row r="74" spans="1:9" ht="18" customHeight="1" x14ac:dyDescent="0.3">
      <c r="A74" s="39" t="s">
        <v>47</v>
      </c>
      <c r="B74" s="39">
        <v>24400</v>
      </c>
      <c r="C74" s="39">
        <v>22000</v>
      </c>
      <c r="D74" s="39">
        <v>21500</v>
      </c>
      <c r="E74" s="39">
        <v>3600</v>
      </c>
      <c r="F74" s="39">
        <v>3500</v>
      </c>
      <c r="G74" s="39">
        <v>22000</v>
      </c>
      <c r="H74" s="39">
        <v>2800</v>
      </c>
      <c r="I74" s="39">
        <v>2400</v>
      </c>
    </row>
    <row r="75" spans="1:9" ht="18" customHeight="1" x14ac:dyDescent="0.3">
      <c r="A75" s="39" t="s">
        <v>46</v>
      </c>
      <c r="B75" s="39">
        <v>27800</v>
      </c>
      <c r="C75" s="39">
        <v>25000</v>
      </c>
      <c r="D75" s="39">
        <v>24400</v>
      </c>
      <c r="E75" s="39">
        <v>4100</v>
      </c>
      <c r="F75" s="39">
        <v>3900</v>
      </c>
      <c r="G75" s="39">
        <v>25000</v>
      </c>
      <c r="H75" s="39">
        <v>3200</v>
      </c>
      <c r="I75" s="39">
        <v>2600</v>
      </c>
    </row>
    <row r="76" spans="1:9" ht="18" customHeight="1" x14ac:dyDescent="0.3">
      <c r="A76" s="39" t="s">
        <v>48</v>
      </c>
      <c r="B76" s="39">
        <v>43800</v>
      </c>
      <c r="C76" s="39">
        <v>39400</v>
      </c>
      <c r="D76" s="39">
        <v>38400</v>
      </c>
      <c r="E76" s="39">
        <v>6500</v>
      </c>
      <c r="F76" s="39">
        <v>5900</v>
      </c>
      <c r="G76" s="39">
        <v>39400</v>
      </c>
      <c r="H76" s="39">
        <v>5000</v>
      </c>
      <c r="I76" s="39">
        <v>4400</v>
      </c>
    </row>
    <row r="77" spans="1:9" ht="18" customHeight="1" x14ac:dyDescent="0.3">
      <c r="A77" s="39" t="s">
        <v>54</v>
      </c>
      <c r="B77" s="39">
        <v>46400</v>
      </c>
      <c r="C77" s="39">
        <v>41800</v>
      </c>
      <c r="D77" s="39">
        <v>40800</v>
      </c>
      <c r="E77" s="39">
        <v>6900</v>
      </c>
      <c r="F77" s="39">
        <v>6300</v>
      </c>
      <c r="G77" s="39">
        <v>41800</v>
      </c>
      <c r="H77" s="39">
        <v>5300</v>
      </c>
      <c r="I77" s="39">
        <v>4700</v>
      </c>
    </row>
    <row r="78" spans="1:9" ht="18" customHeight="1" x14ac:dyDescent="0.3">
      <c r="A78" s="39" t="s">
        <v>53</v>
      </c>
      <c r="B78" s="39">
        <v>46400</v>
      </c>
      <c r="C78" s="39">
        <v>41800</v>
      </c>
      <c r="D78" s="39">
        <v>40800</v>
      </c>
      <c r="E78" s="39">
        <v>6900</v>
      </c>
      <c r="F78" s="39">
        <v>6300</v>
      </c>
      <c r="G78" s="39">
        <v>41800</v>
      </c>
      <c r="H78" s="39">
        <v>5300</v>
      </c>
      <c r="I78" s="39">
        <v>4700</v>
      </c>
    </row>
    <row r="79" spans="1:9" x14ac:dyDescent="0.3">
      <c r="A79" s="47"/>
      <c r="B79" s="47"/>
      <c r="C79" s="47"/>
      <c r="D79" s="47"/>
      <c r="E79" s="47"/>
      <c r="F79" s="47"/>
      <c r="G79" s="47"/>
      <c r="H79" s="47"/>
      <c r="I79" s="47"/>
    </row>
    <row r="80" spans="1:9" x14ac:dyDescent="0.3">
      <c r="A80" s="47"/>
      <c r="B80" s="47"/>
      <c r="C80" s="47"/>
      <c r="D80" s="47"/>
      <c r="E80" s="47"/>
      <c r="F80" s="47"/>
      <c r="G80" s="47"/>
      <c r="H80" s="47"/>
      <c r="I80" s="47"/>
    </row>
    <row r="81" spans="1:9" x14ac:dyDescent="0.3">
      <c r="A81" s="47"/>
      <c r="B81" s="47"/>
      <c r="C81" s="47"/>
      <c r="D81" s="47"/>
      <c r="E81" s="47"/>
      <c r="F81" s="47"/>
      <c r="G81" s="47"/>
      <c r="H81" s="47"/>
      <c r="I81" s="47"/>
    </row>
    <row r="82" spans="1:9" x14ac:dyDescent="0.3">
      <c r="A82" s="47"/>
      <c r="B82" s="47"/>
      <c r="C82" s="47"/>
      <c r="D82" s="47"/>
      <c r="E82" s="47"/>
      <c r="F82" s="47"/>
      <c r="G82" s="47"/>
      <c r="H82" s="47"/>
      <c r="I82" s="47"/>
    </row>
    <row r="83" spans="1:9" x14ac:dyDescent="0.3">
      <c r="A83" s="47"/>
      <c r="B83" s="47"/>
      <c r="C83" s="47"/>
      <c r="D83" s="47"/>
      <c r="E83" s="47"/>
      <c r="F83" s="47"/>
      <c r="G83" s="47"/>
      <c r="H83" s="47"/>
      <c r="I83" s="47"/>
    </row>
    <row r="84" spans="1:9" x14ac:dyDescent="0.3">
      <c r="A84" s="47"/>
      <c r="B84" s="47"/>
      <c r="C84" s="47"/>
      <c r="D84" s="47"/>
      <c r="E84" s="47"/>
      <c r="F84" s="47"/>
      <c r="G84" s="47"/>
      <c r="H84" s="47"/>
      <c r="I84" s="47"/>
    </row>
    <row r="85" spans="1:9" x14ac:dyDescent="0.3">
      <c r="A85" s="47"/>
      <c r="B85" s="47"/>
      <c r="C85" s="47"/>
      <c r="D85" s="47"/>
      <c r="E85" s="47"/>
      <c r="F85" s="47"/>
      <c r="G85" s="47"/>
      <c r="H85" s="47"/>
      <c r="I85" s="47"/>
    </row>
    <row r="86" spans="1:9" ht="18" customHeight="1" x14ac:dyDescent="0.3">
      <c r="A86" s="70" t="s">
        <v>57</v>
      </c>
      <c r="B86" s="71"/>
      <c r="C86" s="71"/>
      <c r="D86" s="71"/>
      <c r="E86" s="71"/>
      <c r="F86" s="71"/>
      <c r="G86" s="71"/>
      <c r="H86" s="71"/>
      <c r="I86" s="72"/>
    </row>
    <row r="87" spans="1:9" ht="27.6" x14ac:dyDescent="0.3">
      <c r="A87" s="44" t="s">
        <v>49</v>
      </c>
      <c r="B87" s="44" t="s">
        <v>1</v>
      </c>
      <c r="C87" s="44" t="s">
        <v>2</v>
      </c>
      <c r="D87" s="44" t="s">
        <v>3</v>
      </c>
      <c r="E87" s="44" t="s">
        <v>44</v>
      </c>
      <c r="F87" s="44" t="s">
        <v>4</v>
      </c>
      <c r="G87" s="44" t="s">
        <v>5</v>
      </c>
      <c r="H87" s="44" t="s">
        <v>6</v>
      </c>
      <c r="I87" s="44" t="s">
        <v>7</v>
      </c>
    </row>
    <row r="88" spans="1:9" ht="18" customHeight="1" x14ac:dyDescent="0.3">
      <c r="A88" s="41" t="s">
        <v>45</v>
      </c>
      <c r="B88" s="41">
        <v>28400</v>
      </c>
      <c r="C88" s="41">
        <v>25000</v>
      </c>
      <c r="D88" s="41">
        <v>23000</v>
      </c>
      <c r="E88" s="41">
        <v>23750</v>
      </c>
      <c r="F88" s="41">
        <v>8500</v>
      </c>
      <c r="G88" s="41">
        <v>6000</v>
      </c>
      <c r="H88" s="41">
        <v>6000</v>
      </c>
      <c r="I88" s="41">
        <v>3250</v>
      </c>
    </row>
    <row r="89" spans="1:9" ht="18" customHeight="1" x14ac:dyDescent="0.3">
      <c r="A89" s="41" t="s">
        <v>47</v>
      </c>
      <c r="B89" s="41">
        <v>28400</v>
      </c>
      <c r="C89" s="41">
        <v>25000</v>
      </c>
      <c r="D89" s="41">
        <v>23000</v>
      </c>
      <c r="E89" s="41">
        <v>23750</v>
      </c>
      <c r="F89" s="41">
        <v>8500</v>
      </c>
      <c r="G89" s="41">
        <v>6000</v>
      </c>
      <c r="H89" s="41">
        <v>6000</v>
      </c>
      <c r="I89" s="41">
        <v>3250</v>
      </c>
    </row>
    <row r="90" spans="1:9" ht="18" customHeight="1" x14ac:dyDescent="0.3">
      <c r="A90" s="41" t="s">
        <v>46</v>
      </c>
      <c r="B90" s="41">
        <v>31800</v>
      </c>
      <c r="C90" s="41">
        <v>28600</v>
      </c>
      <c r="D90" s="41">
        <v>26300</v>
      </c>
      <c r="E90" s="41">
        <v>27250</v>
      </c>
      <c r="F90" s="41">
        <v>9500</v>
      </c>
      <c r="G90" s="41">
        <v>7000</v>
      </c>
      <c r="H90" s="41">
        <v>7000</v>
      </c>
      <c r="I90" s="41">
        <v>3750</v>
      </c>
    </row>
    <row r="91" spans="1:9" ht="18" customHeight="1" x14ac:dyDescent="0.3">
      <c r="A91" s="41" t="s">
        <v>48</v>
      </c>
      <c r="B91" s="41">
        <v>50400</v>
      </c>
      <c r="C91" s="41">
        <v>44500</v>
      </c>
      <c r="D91" s="41">
        <v>41000</v>
      </c>
      <c r="E91" s="41">
        <v>42250</v>
      </c>
      <c r="F91" s="41">
        <v>15000</v>
      </c>
      <c r="G91" s="41">
        <v>11000</v>
      </c>
      <c r="H91" s="41">
        <v>11000</v>
      </c>
      <c r="I91" s="41">
        <v>5250</v>
      </c>
    </row>
    <row r="92" spans="1:9" ht="18" customHeight="1" x14ac:dyDescent="0.3">
      <c r="A92" s="41" t="s">
        <v>54</v>
      </c>
      <c r="B92" s="41">
        <v>53100</v>
      </c>
      <c r="C92" s="41">
        <v>49000</v>
      </c>
      <c r="D92" s="41">
        <v>45000</v>
      </c>
      <c r="E92" s="41">
        <v>46500</v>
      </c>
      <c r="F92" s="41">
        <v>16000</v>
      </c>
      <c r="G92" s="41">
        <v>11500</v>
      </c>
      <c r="H92" s="41">
        <v>11500</v>
      </c>
      <c r="I92" s="41">
        <v>7500</v>
      </c>
    </row>
    <row r="93" spans="1:9" ht="18" customHeight="1" x14ac:dyDescent="0.3">
      <c r="A93" s="41" t="s">
        <v>55</v>
      </c>
      <c r="B93" s="41">
        <v>53100</v>
      </c>
      <c r="C93" s="41">
        <v>49000</v>
      </c>
      <c r="D93" s="41">
        <v>45000</v>
      </c>
      <c r="E93" s="41">
        <v>46500</v>
      </c>
      <c r="F93" s="41">
        <v>16000</v>
      </c>
      <c r="G93" s="41">
        <v>11500</v>
      </c>
      <c r="H93" s="41">
        <v>11500</v>
      </c>
      <c r="I93" s="41">
        <v>7500</v>
      </c>
    </row>
    <row r="94" spans="1:9" x14ac:dyDescent="0.3">
      <c r="A94" s="42"/>
      <c r="B94" s="42"/>
      <c r="C94" s="42"/>
      <c r="D94" s="42"/>
      <c r="E94" s="42"/>
      <c r="F94" s="42"/>
      <c r="G94" s="42"/>
      <c r="H94" s="42"/>
      <c r="I94" s="42"/>
    </row>
    <row r="95" spans="1:9" x14ac:dyDescent="0.3">
      <c r="A95" s="42"/>
      <c r="B95" s="42"/>
      <c r="C95" s="42"/>
      <c r="D95" s="42"/>
      <c r="E95" s="42"/>
      <c r="F95" s="42"/>
      <c r="G95" s="42"/>
      <c r="H95" s="42"/>
      <c r="I95" s="42"/>
    </row>
    <row r="96" spans="1:9" x14ac:dyDescent="0.3">
      <c r="A96" s="42"/>
      <c r="B96" s="42"/>
      <c r="C96" s="42"/>
      <c r="D96" s="42"/>
      <c r="E96" s="42"/>
      <c r="F96" s="42"/>
      <c r="G96" s="42"/>
      <c r="H96" s="42"/>
      <c r="I96" s="42"/>
    </row>
    <row r="97" spans="1:9" x14ac:dyDescent="0.3">
      <c r="A97" s="42"/>
      <c r="B97" s="42"/>
      <c r="C97" s="42"/>
      <c r="D97" s="42"/>
      <c r="E97" s="42"/>
      <c r="F97" s="42"/>
      <c r="G97" s="42"/>
      <c r="H97" s="42"/>
      <c r="I97" s="42"/>
    </row>
    <row r="98" spans="1:9" x14ac:dyDescent="0.3">
      <c r="A98" s="42"/>
      <c r="B98" s="42"/>
      <c r="C98" s="42"/>
      <c r="D98" s="42"/>
      <c r="E98" s="42"/>
      <c r="F98" s="42"/>
      <c r="G98" s="42"/>
      <c r="H98" s="42"/>
      <c r="I98" s="42"/>
    </row>
    <row r="99" spans="1:9" ht="18" customHeight="1" x14ac:dyDescent="0.3">
      <c r="A99" s="86" t="s">
        <v>58</v>
      </c>
      <c r="B99" s="87"/>
      <c r="C99" s="87"/>
      <c r="D99" s="87"/>
      <c r="E99" s="87"/>
      <c r="F99" s="87"/>
      <c r="G99" s="87"/>
      <c r="H99" s="87"/>
      <c r="I99" s="88"/>
    </row>
    <row r="100" spans="1:9" ht="55.2" x14ac:dyDescent="0.3">
      <c r="A100" s="30" t="s">
        <v>49</v>
      </c>
      <c r="B100" s="30" t="s">
        <v>1</v>
      </c>
      <c r="C100" s="30" t="s">
        <v>8</v>
      </c>
      <c r="D100" s="25" t="s">
        <v>42</v>
      </c>
      <c r="E100" s="25" t="s">
        <v>37</v>
      </c>
      <c r="F100" s="25" t="s">
        <v>38</v>
      </c>
      <c r="G100" s="30" t="s">
        <v>41</v>
      </c>
      <c r="H100" s="30" t="s">
        <v>39</v>
      </c>
      <c r="I100" s="30" t="s">
        <v>40</v>
      </c>
    </row>
    <row r="101" spans="1:9" ht="18" customHeight="1" x14ac:dyDescent="0.3">
      <c r="A101" s="41" t="s">
        <v>45</v>
      </c>
      <c r="B101" s="41">
        <v>28400</v>
      </c>
      <c r="C101" s="41">
        <v>25000</v>
      </c>
      <c r="D101" s="46">
        <v>24300</v>
      </c>
      <c r="E101" s="46">
        <v>4200</v>
      </c>
      <c r="F101" s="46">
        <v>3300</v>
      </c>
      <c r="G101" s="41">
        <v>25000</v>
      </c>
      <c r="H101" s="41">
        <v>3250</v>
      </c>
      <c r="I101" s="41">
        <v>2250</v>
      </c>
    </row>
    <row r="102" spans="1:9" ht="18" customHeight="1" x14ac:dyDescent="0.3">
      <c r="A102" s="41" t="s">
        <v>47</v>
      </c>
      <c r="B102" s="41">
        <v>28400</v>
      </c>
      <c r="C102" s="41">
        <v>25000</v>
      </c>
      <c r="D102" s="46">
        <v>24300</v>
      </c>
      <c r="E102" s="46">
        <v>4200</v>
      </c>
      <c r="F102" s="46">
        <v>3300</v>
      </c>
      <c r="G102" s="41">
        <v>25000</v>
      </c>
      <c r="H102" s="41">
        <v>3250</v>
      </c>
      <c r="I102" s="41">
        <v>2250</v>
      </c>
    </row>
    <row r="103" spans="1:9" ht="18" customHeight="1" x14ac:dyDescent="0.3">
      <c r="A103" s="41" t="s">
        <v>46</v>
      </c>
      <c r="B103" s="41">
        <v>31800</v>
      </c>
      <c r="C103" s="41">
        <v>28600</v>
      </c>
      <c r="D103" s="46">
        <v>27750</v>
      </c>
      <c r="E103" s="46">
        <v>4700</v>
      </c>
      <c r="F103" s="46">
        <v>4250</v>
      </c>
      <c r="G103" s="41">
        <v>28600</v>
      </c>
      <c r="H103" s="41">
        <v>3600</v>
      </c>
      <c r="I103" s="41">
        <v>3400</v>
      </c>
    </row>
    <row r="104" spans="1:9" ht="18" customHeight="1" x14ac:dyDescent="0.3">
      <c r="A104" s="41" t="s">
        <v>48</v>
      </c>
      <c r="B104" s="41">
        <v>50400</v>
      </c>
      <c r="C104" s="41">
        <v>44500</v>
      </c>
      <c r="D104" s="46">
        <v>43400</v>
      </c>
      <c r="E104" s="46">
        <v>7400</v>
      </c>
      <c r="F104" s="46">
        <v>6400</v>
      </c>
      <c r="G104" s="41">
        <v>44500</v>
      </c>
      <c r="H104" s="41">
        <v>5700</v>
      </c>
      <c r="I104" s="41">
        <v>4600</v>
      </c>
    </row>
    <row r="105" spans="1:9" ht="18" customHeight="1" x14ac:dyDescent="0.3">
      <c r="A105" s="41" t="s">
        <v>54</v>
      </c>
      <c r="B105" s="41">
        <v>53100</v>
      </c>
      <c r="C105" s="41">
        <v>49000</v>
      </c>
      <c r="D105" s="46">
        <v>47750</v>
      </c>
      <c r="E105" s="46">
        <v>7800</v>
      </c>
      <c r="F105" s="46">
        <v>8750</v>
      </c>
      <c r="G105" s="41">
        <v>49000</v>
      </c>
      <c r="H105" s="41">
        <v>6000</v>
      </c>
      <c r="I105" s="41">
        <v>7000</v>
      </c>
    </row>
    <row r="106" spans="1:9" ht="18" customHeight="1" x14ac:dyDescent="0.3">
      <c r="A106" s="41" t="s">
        <v>55</v>
      </c>
      <c r="B106" s="41">
        <v>53100</v>
      </c>
      <c r="C106" s="41">
        <v>49000</v>
      </c>
      <c r="D106" s="46">
        <v>47750</v>
      </c>
      <c r="E106" s="46">
        <v>7800</v>
      </c>
      <c r="F106" s="46">
        <v>8750</v>
      </c>
      <c r="G106" s="41">
        <v>49000</v>
      </c>
      <c r="H106" s="41">
        <v>6000</v>
      </c>
      <c r="I106" s="41">
        <v>7000</v>
      </c>
    </row>
  </sheetData>
  <mergeCells count="8">
    <mergeCell ref="A71:I71"/>
    <mergeCell ref="A86:I86"/>
    <mergeCell ref="A99:I99"/>
    <mergeCell ref="A3:I3"/>
    <mergeCell ref="A15:I15"/>
    <mergeCell ref="A31:I31"/>
    <mergeCell ref="A44:I44"/>
    <mergeCell ref="A59:I59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FS Verificatiom</vt:lpstr>
      <vt:lpstr>OTP &amp; QTR</vt:lpstr>
      <vt:lpstr>6 Month</vt:lpstr>
      <vt:lpstr>Total</vt:lpstr>
      <vt:lpstr>Tier 1</vt:lpstr>
      <vt:lpstr>Thoppumpady</vt:lpstr>
      <vt:lpstr>Moolamkuzhi</vt:lpstr>
      <vt:lpstr>Kadavanthra</vt:lpstr>
      <vt:lpstr>Vennala</vt:lpstr>
      <vt:lpstr>Edappally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AUGUSTINE PAUL</dc:creator>
  <cp:lastModifiedBy>NAVIN AUGUSTINE PAUL</cp:lastModifiedBy>
  <cp:lastPrinted>2026-03-14T11:20:07Z</cp:lastPrinted>
  <dcterms:created xsi:type="dcterms:W3CDTF">2026-02-26T09:09:14Z</dcterms:created>
  <dcterms:modified xsi:type="dcterms:W3CDTF">2026-03-16T04:43:10Z</dcterms:modified>
</cp:coreProperties>
</file>